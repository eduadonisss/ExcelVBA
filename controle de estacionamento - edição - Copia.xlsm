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48bb8790-46da-4105-a75d-42f52bd0fb37.png" ContentType="image/.png"/>
  <Override PartName="/customUI/images/0cf406fe-6908-4d16-95fa-b7344bf5bf04.png" ContentType="image/.png"/>
</Types>
</file>

<file path=_rels/.rels><?xml version="1.0" encoding="UTF-8" standalone="yes"?>
<Relationships xmlns="http://schemas.openxmlformats.org/package/2006/relationships"><Relationship Id="R181f960d4c9542b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onisss\Documents\"/>
    </mc:Choice>
  </mc:AlternateContent>
  <xr:revisionPtr revIDLastSave="0" documentId="13_ncr:1_{1FB9A8B1-CB66-4B36-854A-D02086B3D2BB}" xr6:coauthVersionLast="47" xr6:coauthVersionMax="47" xr10:uidLastSave="{00000000-0000-0000-0000-000000000000}"/>
  <bookViews>
    <workbookView xWindow="-108" yWindow="-108" windowWidth="23256" windowHeight="12576" firstSheet="1" activeTab="1" xr2:uid="{088A350E-3EC6-4D95-B9A7-AEAD31E5F2FE}"/>
  </bookViews>
  <sheets>
    <sheet name="BD (2)" sheetId="9" state="hidden" r:id="rId1"/>
    <sheet name="BD" sheetId="1" r:id="rId2"/>
    <sheet name="FILTRO" sheetId="12" r:id="rId3"/>
    <sheet name="BDocupada" sheetId="2" state="veryHidden" r:id="rId4"/>
    <sheet name="BDlivre" sheetId="3" state="veryHidden" r:id="rId5"/>
  </sheets>
  <functionGroups builtInGroupCount="19"/>
  <definedNames>
    <definedName name="_xlnm._FilterDatabase" localSheetId="1" hidden="1">BD!$B$7:$L$260</definedName>
    <definedName name="BD">OFFSET(BD!$B$8,0,0,COUNTA(BD!$B:$B)-1,COUNTA(BD!$7:$7))</definedName>
    <definedName name="ROTULOS">OFFSET(FILTRO!$B$20,MATCH(FILTRO!$J$20,MONTH(FILTRO!$B$21:$B$385),0),0,SUMPRODUCT(--(MONTH(FILTRO!$B$21:$B$385)=FILTRO!$J$20)),1)</definedName>
    <definedName name="VALORES">OFFSET(FILTRO!$B$20,MATCH(FILTRO!$J$20,MONTH(FILTRO!$B$21:$B$385),0),FILTRO!$J$23,SUMPRODUCT(--(MONTH(FILTRO!$B$21:$B$385)=FILTRO!$J$20)),1)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2" l="1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6" i="12" a="1"/>
  <c r="C6" i="12" s="1"/>
  <c r="G22" i="12" a="1"/>
  <c r="G22" i="12" s="1"/>
  <c r="G23" i="12" a="1"/>
  <c r="G23" i="12" s="1"/>
  <c r="G24" i="12" a="1"/>
  <c r="G24" i="12" s="1"/>
  <c r="G25" i="12" a="1"/>
  <c r="G25" i="12" s="1"/>
  <c r="G26" i="12" a="1"/>
  <c r="G26" i="12" s="1"/>
  <c r="G27" i="12" a="1"/>
  <c r="G27" i="12" s="1"/>
  <c r="G28" i="12" a="1"/>
  <c r="G28" i="12" s="1"/>
  <c r="G29" i="12" a="1"/>
  <c r="G29" i="12" s="1"/>
  <c r="G30" i="12" a="1"/>
  <c r="G30" i="12" s="1"/>
  <c r="G31" i="12" a="1"/>
  <c r="G31" i="12" s="1"/>
  <c r="G32" i="12" a="1"/>
  <c r="G32" i="12" s="1"/>
  <c r="G33" i="12" a="1"/>
  <c r="G33" i="12" s="1"/>
  <c r="G34" i="12" a="1"/>
  <c r="G34" i="12" s="1"/>
  <c r="G35" i="12" a="1"/>
  <c r="G35" i="12" s="1"/>
  <c r="G36" i="12" a="1"/>
  <c r="G36" i="12" s="1"/>
  <c r="G37" i="12" a="1"/>
  <c r="G37" i="12" s="1"/>
  <c r="G38" i="12" a="1"/>
  <c r="G38" i="12" s="1"/>
  <c r="G39" i="12" a="1"/>
  <c r="G39" i="12" s="1"/>
  <c r="G40" i="12" a="1"/>
  <c r="G40" i="12" s="1"/>
  <c r="G41" i="12" a="1"/>
  <c r="G41" i="12" s="1"/>
  <c r="G42" i="12" a="1"/>
  <c r="G42" i="12" s="1"/>
  <c r="G43" i="12" a="1"/>
  <c r="G43" i="12" s="1"/>
  <c r="G44" i="12" a="1"/>
  <c r="G44" i="12" s="1"/>
  <c r="G45" i="12" a="1"/>
  <c r="G45" i="12" s="1"/>
  <c r="G46" i="12" a="1"/>
  <c r="G46" i="12" s="1"/>
  <c r="G47" i="12" a="1"/>
  <c r="G47" i="12" s="1"/>
  <c r="G48" i="12" a="1"/>
  <c r="G48" i="12" s="1"/>
  <c r="G49" i="12" a="1"/>
  <c r="G49" i="12" s="1"/>
  <c r="G50" i="12" a="1"/>
  <c r="G50" i="12" s="1"/>
  <c r="G51" i="12" a="1"/>
  <c r="G51" i="12" s="1"/>
  <c r="G52" i="12" a="1"/>
  <c r="G52" i="12" s="1"/>
  <c r="G53" i="12" a="1"/>
  <c r="G53" i="12" s="1"/>
  <c r="G54" i="12" a="1"/>
  <c r="G54" i="12" s="1"/>
  <c r="G55" i="12" a="1"/>
  <c r="G55" i="12" s="1"/>
  <c r="G56" i="12" a="1"/>
  <c r="G56" i="12" s="1"/>
  <c r="G57" i="12" a="1"/>
  <c r="G57" i="12" s="1"/>
  <c r="G58" i="12" a="1"/>
  <c r="G58" i="12" s="1"/>
  <c r="G59" i="12" a="1"/>
  <c r="G59" i="12" s="1"/>
  <c r="G60" i="12" a="1"/>
  <c r="G60" i="12" s="1"/>
  <c r="G61" i="12" a="1"/>
  <c r="G61" i="12" s="1"/>
  <c r="G62" i="12" a="1"/>
  <c r="G62" i="12" s="1"/>
  <c r="G63" i="12" a="1"/>
  <c r="G63" i="12" s="1"/>
  <c r="G64" i="12" a="1"/>
  <c r="G64" i="12" s="1"/>
  <c r="G65" i="12" a="1"/>
  <c r="G65" i="12" s="1"/>
  <c r="G66" i="12" a="1"/>
  <c r="G66" i="12" s="1"/>
  <c r="G67" i="12" a="1"/>
  <c r="G67" i="12" s="1"/>
  <c r="G68" i="12" a="1"/>
  <c r="G68" i="12" s="1"/>
  <c r="G69" i="12" a="1"/>
  <c r="G69" i="12" s="1"/>
  <c r="G70" i="12" a="1"/>
  <c r="G70" i="12" s="1"/>
  <c r="G71" i="12" a="1"/>
  <c r="G71" i="12" s="1"/>
  <c r="G72" i="12" a="1"/>
  <c r="G72" i="12" s="1"/>
  <c r="G73" i="12" a="1"/>
  <c r="G73" i="12" s="1"/>
  <c r="G74" i="12" a="1"/>
  <c r="G74" i="12" s="1"/>
  <c r="G75" i="12" a="1"/>
  <c r="G75" i="12" s="1"/>
  <c r="G76" i="12" a="1"/>
  <c r="G76" i="12" s="1"/>
  <c r="G77" i="12" a="1"/>
  <c r="G77" i="12" s="1"/>
  <c r="G78" i="12" a="1"/>
  <c r="G78" i="12" s="1"/>
  <c r="G79" i="12" a="1"/>
  <c r="G79" i="12" s="1"/>
  <c r="G80" i="12" a="1"/>
  <c r="G80" i="12" s="1"/>
  <c r="G81" i="12" a="1"/>
  <c r="G81" i="12" s="1"/>
  <c r="G82" i="12" a="1"/>
  <c r="G82" i="12" s="1"/>
  <c r="G83" i="12" a="1"/>
  <c r="G83" i="12" s="1"/>
  <c r="G84" i="12" a="1"/>
  <c r="G84" i="12" s="1"/>
  <c r="G85" i="12" a="1"/>
  <c r="G85" i="12" s="1"/>
  <c r="G86" i="12" a="1"/>
  <c r="G86" i="12" s="1"/>
  <c r="G87" i="12" a="1"/>
  <c r="G87" i="12" s="1"/>
  <c r="G88" i="12" a="1"/>
  <c r="G88" i="12" s="1"/>
  <c r="G89" i="12" a="1"/>
  <c r="G89" i="12" s="1"/>
  <c r="G90" i="12" a="1"/>
  <c r="G90" i="12" s="1"/>
  <c r="G91" i="12" a="1"/>
  <c r="G91" i="12" s="1"/>
  <c r="G92" i="12" a="1"/>
  <c r="G92" i="12" s="1"/>
  <c r="G93" i="12" a="1"/>
  <c r="G93" i="12" s="1"/>
  <c r="G94" i="12" a="1"/>
  <c r="G94" i="12" s="1"/>
  <c r="G95" i="12" a="1"/>
  <c r="G95" i="12" s="1"/>
  <c r="G96" i="12" a="1"/>
  <c r="G96" i="12" s="1"/>
  <c r="G97" i="12" a="1"/>
  <c r="G97" i="12" s="1"/>
  <c r="G98" i="12" a="1"/>
  <c r="G98" i="12" s="1"/>
  <c r="G99" i="12" a="1"/>
  <c r="G99" i="12" s="1"/>
  <c r="G100" i="12" a="1"/>
  <c r="G100" i="12" s="1"/>
  <c r="G101" i="12" a="1"/>
  <c r="G101" i="12" s="1"/>
  <c r="G102" i="12" a="1"/>
  <c r="G102" i="12" s="1"/>
  <c r="G103" i="12" a="1"/>
  <c r="G103" i="12" s="1"/>
  <c r="G104" i="12" a="1"/>
  <c r="G104" i="12" s="1"/>
  <c r="G105" i="12" a="1"/>
  <c r="G105" i="12" s="1"/>
  <c r="G106" i="12" a="1"/>
  <c r="G106" i="12" s="1"/>
  <c r="G107" i="12" a="1"/>
  <c r="G107" i="12" s="1"/>
  <c r="G108" i="12" a="1"/>
  <c r="G108" i="12" s="1"/>
  <c r="G109" i="12" a="1"/>
  <c r="G109" i="12" s="1"/>
  <c r="G110" i="12" a="1"/>
  <c r="G110" i="12" s="1"/>
  <c r="G111" i="12" a="1"/>
  <c r="G111" i="12" s="1"/>
  <c r="G112" i="12" a="1"/>
  <c r="G112" i="12" s="1"/>
  <c r="G113" i="12" a="1"/>
  <c r="G113" i="12" s="1"/>
  <c r="G114" i="12" a="1"/>
  <c r="G114" i="12" s="1"/>
  <c r="G115" i="12" a="1"/>
  <c r="G115" i="12" s="1"/>
  <c r="G116" i="12" a="1"/>
  <c r="G116" i="12" s="1"/>
  <c r="G117" i="12" a="1"/>
  <c r="G117" i="12" s="1"/>
  <c r="G118" i="12" a="1"/>
  <c r="G118" i="12" s="1"/>
  <c r="G119" i="12" a="1"/>
  <c r="G119" i="12" s="1"/>
  <c r="G120" i="12" a="1"/>
  <c r="G120" i="12" s="1"/>
  <c r="G121" i="12" a="1"/>
  <c r="G121" i="12" s="1"/>
  <c r="G122" i="12" a="1"/>
  <c r="G122" i="12" s="1"/>
  <c r="G123" i="12" a="1"/>
  <c r="G123" i="12" s="1"/>
  <c r="G124" i="12" a="1"/>
  <c r="G124" i="12" s="1"/>
  <c r="G125" i="12" a="1"/>
  <c r="G125" i="12" s="1"/>
  <c r="G126" i="12" a="1"/>
  <c r="G126" i="12" s="1"/>
  <c r="G127" i="12" a="1"/>
  <c r="G127" i="12" s="1"/>
  <c r="G128" i="12" a="1"/>
  <c r="G128" i="12" s="1"/>
  <c r="G129" i="12" a="1"/>
  <c r="G129" i="12" s="1"/>
  <c r="G130" i="12" a="1"/>
  <c r="G130" i="12" s="1"/>
  <c r="G131" i="12" a="1"/>
  <c r="G131" i="12" s="1"/>
  <c r="G132" i="12" a="1"/>
  <c r="G132" i="12" s="1"/>
  <c r="G133" i="12" a="1"/>
  <c r="G133" i="12" s="1"/>
  <c r="G134" i="12" a="1"/>
  <c r="G134" i="12" s="1"/>
  <c r="G135" i="12" a="1"/>
  <c r="G135" i="12" s="1"/>
  <c r="G136" i="12" a="1"/>
  <c r="G136" i="12" s="1"/>
  <c r="G137" i="12" a="1"/>
  <c r="G137" i="12" s="1"/>
  <c r="G138" i="12" a="1"/>
  <c r="G138" i="12" s="1"/>
  <c r="G139" i="12" a="1"/>
  <c r="G139" i="12" s="1"/>
  <c r="G140" i="12" a="1"/>
  <c r="G140" i="12" s="1"/>
  <c r="G141" i="12" a="1"/>
  <c r="G141" i="12" s="1"/>
  <c r="G142" i="12" a="1"/>
  <c r="G142" i="12" s="1"/>
  <c r="G143" i="12" a="1"/>
  <c r="G143" i="12" s="1"/>
  <c r="G144" i="12" a="1"/>
  <c r="G144" i="12" s="1"/>
  <c r="G145" i="12" a="1"/>
  <c r="G145" i="12" s="1"/>
  <c r="G146" i="12" a="1"/>
  <c r="G146" i="12" s="1"/>
  <c r="G147" i="12" a="1"/>
  <c r="G147" i="12" s="1"/>
  <c r="G148" i="12" a="1"/>
  <c r="G148" i="12" s="1"/>
  <c r="G149" i="12" a="1"/>
  <c r="G149" i="12" s="1"/>
  <c r="G150" i="12" a="1"/>
  <c r="G150" i="12" s="1"/>
  <c r="G151" i="12" a="1"/>
  <c r="G151" i="12" s="1"/>
  <c r="G152" i="12" a="1"/>
  <c r="G152" i="12" s="1"/>
  <c r="G153" i="12" a="1"/>
  <c r="G153" i="12" s="1"/>
  <c r="G154" i="12" a="1"/>
  <c r="G154" i="12" s="1"/>
  <c r="G155" i="12" a="1"/>
  <c r="G155" i="12" s="1"/>
  <c r="G156" i="12" a="1"/>
  <c r="G156" i="12" s="1"/>
  <c r="G157" i="12" a="1"/>
  <c r="G157" i="12" s="1"/>
  <c r="G158" i="12" a="1"/>
  <c r="G158" i="12" s="1"/>
  <c r="G159" i="12" a="1"/>
  <c r="G159" i="12" s="1"/>
  <c r="G160" i="12" a="1"/>
  <c r="G160" i="12" s="1"/>
  <c r="G161" i="12" a="1"/>
  <c r="G161" i="12" s="1"/>
  <c r="G162" i="12" a="1"/>
  <c r="G162" i="12" s="1"/>
  <c r="G163" i="12" a="1"/>
  <c r="G163" i="12" s="1"/>
  <c r="G164" i="12" a="1"/>
  <c r="G164" i="12" s="1"/>
  <c r="G165" i="12" a="1"/>
  <c r="G165" i="12" s="1"/>
  <c r="G166" i="12" a="1"/>
  <c r="G166" i="12" s="1"/>
  <c r="G167" i="12" a="1"/>
  <c r="G167" i="12" s="1"/>
  <c r="G168" i="12" a="1"/>
  <c r="G168" i="12" s="1"/>
  <c r="G169" i="12" a="1"/>
  <c r="G169" i="12" s="1"/>
  <c r="G170" i="12" a="1"/>
  <c r="G170" i="12" s="1"/>
  <c r="G171" i="12" a="1"/>
  <c r="G171" i="12" s="1"/>
  <c r="G172" i="12" a="1"/>
  <c r="G172" i="12" s="1"/>
  <c r="G173" i="12" a="1"/>
  <c r="G173" i="12" s="1"/>
  <c r="G174" i="12" a="1"/>
  <c r="G174" i="12" s="1"/>
  <c r="G175" i="12" a="1"/>
  <c r="G175" i="12" s="1"/>
  <c r="G176" i="12" a="1"/>
  <c r="G176" i="12" s="1"/>
  <c r="G177" i="12" a="1"/>
  <c r="G177" i="12" s="1"/>
  <c r="G178" i="12" a="1"/>
  <c r="G178" i="12" s="1"/>
  <c r="G179" i="12" a="1"/>
  <c r="G179" i="12" s="1"/>
  <c r="G180" i="12" a="1"/>
  <c r="G180" i="12" s="1"/>
  <c r="G181" i="12" a="1"/>
  <c r="G181" i="12" s="1"/>
  <c r="G182" i="12" a="1"/>
  <c r="G182" i="12" s="1"/>
  <c r="G183" i="12" a="1"/>
  <c r="G183" i="12" s="1"/>
  <c r="G184" i="12" a="1"/>
  <c r="G184" i="12" s="1"/>
  <c r="G185" i="12" a="1"/>
  <c r="G185" i="12" s="1"/>
  <c r="G186" i="12" a="1"/>
  <c r="G186" i="12" s="1"/>
  <c r="G187" i="12" a="1"/>
  <c r="G187" i="12" s="1"/>
  <c r="G188" i="12" a="1"/>
  <c r="G188" i="12" s="1"/>
  <c r="G189" i="12" a="1"/>
  <c r="G189" i="12" s="1"/>
  <c r="G190" i="12" a="1"/>
  <c r="G190" i="12" s="1"/>
  <c r="G191" i="12" a="1"/>
  <c r="G191" i="12" s="1"/>
  <c r="G192" i="12" a="1"/>
  <c r="G192" i="12" s="1"/>
  <c r="G193" i="12" a="1"/>
  <c r="G193" i="12" s="1"/>
  <c r="G194" i="12" a="1"/>
  <c r="G194" i="12" s="1"/>
  <c r="G195" i="12" a="1"/>
  <c r="G195" i="12" s="1"/>
  <c r="G196" i="12" a="1"/>
  <c r="G196" i="12" s="1"/>
  <c r="G197" i="12" a="1"/>
  <c r="G197" i="12" s="1"/>
  <c r="G198" i="12" a="1"/>
  <c r="G198" i="12" s="1"/>
  <c r="G199" i="12" a="1"/>
  <c r="G199" i="12" s="1"/>
  <c r="G200" i="12" a="1"/>
  <c r="G200" i="12" s="1"/>
  <c r="G201" i="12" a="1"/>
  <c r="G201" i="12" s="1"/>
  <c r="G202" i="12" a="1"/>
  <c r="G202" i="12" s="1"/>
  <c r="G203" i="12" a="1"/>
  <c r="G203" i="12" s="1"/>
  <c r="G204" i="12" a="1"/>
  <c r="G204" i="12" s="1"/>
  <c r="G205" i="12" a="1"/>
  <c r="G205" i="12" s="1"/>
  <c r="G206" i="12" a="1"/>
  <c r="G206" i="12" s="1"/>
  <c r="G207" i="12" a="1"/>
  <c r="G207" i="12" s="1"/>
  <c r="G208" i="12" a="1"/>
  <c r="G208" i="12" s="1"/>
  <c r="G209" i="12" a="1"/>
  <c r="G209" i="12" s="1"/>
  <c r="G210" i="12" a="1"/>
  <c r="G210" i="12" s="1"/>
  <c r="G211" i="12" a="1"/>
  <c r="G211" i="12" s="1"/>
  <c r="G212" i="12" a="1"/>
  <c r="G212" i="12" s="1"/>
  <c r="G213" i="12" a="1"/>
  <c r="G213" i="12" s="1"/>
  <c r="G214" i="12" a="1"/>
  <c r="G214" i="12" s="1"/>
  <c r="G215" i="12" a="1"/>
  <c r="G215" i="12" s="1"/>
  <c r="G216" i="12" a="1"/>
  <c r="G216" i="12" s="1"/>
  <c r="G217" i="12" a="1"/>
  <c r="G217" i="12" s="1"/>
  <c r="G218" i="12" a="1"/>
  <c r="G218" i="12" s="1"/>
  <c r="G219" i="12" a="1"/>
  <c r="G219" i="12" s="1"/>
  <c r="G220" i="12" a="1"/>
  <c r="G220" i="12" s="1"/>
  <c r="G221" i="12" a="1"/>
  <c r="G221" i="12" s="1"/>
  <c r="G222" i="12" a="1"/>
  <c r="G222" i="12" s="1"/>
  <c r="G223" i="12" a="1"/>
  <c r="G223" i="12" s="1"/>
  <c r="G224" i="12" a="1"/>
  <c r="G224" i="12" s="1"/>
  <c r="G225" i="12" a="1"/>
  <c r="G225" i="12" s="1"/>
  <c r="G226" i="12" a="1"/>
  <c r="G226" i="12" s="1"/>
  <c r="G227" i="12" a="1"/>
  <c r="G227" i="12" s="1"/>
  <c r="G228" i="12" a="1"/>
  <c r="G228" i="12" s="1"/>
  <c r="G229" i="12" a="1"/>
  <c r="G229" i="12" s="1"/>
  <c r="G230" i="12" a="1"/>
  <c r="G230" i="12" s="1"/>
  <c r="G231" i="12" a="1"/>
  <c r="G231" i="12" s="1"/>
  <c r="G232" i="12" a="1"/>
  <c r="G232" i="12" s="1"/>
  <c r="G233" i="12" a="1"/>
  <c r="G233" i="12" s="1"/>
  <c r="G234" i="12" a="1"/>
  <c r="G234" i="12" s="1"/>
  <c r="G235" i="12" a="1"/>
  <c r="G235" i="12" s="1"/>
  <c r="G236" i="12" a="1"/>
  <c r="G236" i="12" s="1"/>
  <c r="G237" i="12" a="1"/>
  <c r="G237" i="12" s="1"/>
  <c r="G238" i="12" a="1"/>
  <c r="G238" i="12" s="1"/>
  <c r="G239" i="12" a="1"/>
  <c r="G239" i="12" s="1"/>
  <c r="G240" i="12" a="1"/>
  <c r="G240" i="12" s="1"/>
  <c r="G241" i="12" a="1"/>
  <c r="G241" i="12" s="1"/>
  <c r="G242" i="12" a="1"/>
  <c r="G242" i="12" s="1"/>
  <c r="G243" i="12" a="1"/>
  <c r="G243" i="12" s="1"/>
  <c r="G244" i="12" a="1"/>
  <c r="G244" i="12" s="1"/>
  <c r="G245" i="12" a="1"/>
  <c r="G245" i="12" s="1"/>
  <c r="G246" i="12" a="1"/>
  <c r="G246" i="12" s="1"/>
  <c r="G247" i="12" a="1"/>
  <c r="G247" i="12" s="1"/>
  <c r="G248" i="12" a="1"/>
  <c r="G248" i="12" s="1"/>
  <c r="G249" i="12" a="1"/>
  <c r="G249" i="12" s="1"/>
  <c r="G250" i="12" a="1"/>
  <c r="G250" i="12" s="1"/>
  <c r="G251" i="12" a="1"/>
  <c r="G251" i="12" s="1"/>
  <c r="G252" i="12" a="1"/>
  <c r="G252" i="12" s="1"/>
  <c r="G253" i="12" a="1"/>
  <c r="G253" i="12" s="1"/>
  <c r="G254" i="12" a="1"/>
  <c r="G254" i="12" s="1"/>
  <c r="G255" i="12" a="1"/>
  <c r="G255" i="12" s="1"/>
  <c r="G256" i="12" a="1"/>
  <c r="G256" i="12" s="1"/>
  <c r="G257" i="12" a="1"/>
  <c r="G257" i="12" s="1"/>
  <c r="G258" i="12" a="1"/>
  <c r="G258" i="12" s="1"/>
  <c r="G259" i="12" a="1"/>
  <c r="G259" i="12" s="1"/>
  <c r="G260" i="12" a="1"/>
  <c r="G260" i="12" s="1"/>
  <c r="G261" i="12" a="1"/>
  <c r="G261" i="12" s="1"/>
  <c r="G262" i="12" a="1"/>
  <c r="G262" i="12" s="1"/>
  <c r="G263" i="12" a="1"/>
  <c r="G263" i="12" s="1"/>
  <c r="G264" i="12" a="1"/>
  <c r="G264" i="12" s="1"/>
  <c r="G265" i="12" a="1"/>
  <c r="G265" i="12" s="1"/>
  <c r="G266" i="12" a="1"/>
  <c r="G266" i="12" s="1"/>
  <c r="G267" i="12" a="1"/>
  <c r="G267" i="12" s="1"/>
  <c r="G268" i="12" a="1"/>
  <c r="G268" i="12" s="1"/>
  <c r="G269" i="12" a="1"/>
  <c r="G269" i="12" s="1"/>
  <c r="G270" i="12" a="1"/>
  <c r="G270" i="12" s="1"/>
  <c r="G271" i="12" a="1"/>
  <c r="G271" i="12" s="1"/>
  <c r="G272" i="12" a="1"/>
  <c r="G272" i="12" s="1"/>
  <c r="G273" i="12" a="1"/>
  <c r="G273" i="12" s="1"/>
  <c r="G274" i="12" a="1"/>
  <c r="G274" i="12" s="1"/>
  <c r="G275" i="12" a="1"/>
  <c r="G275" i="12" s="1"/>
  <c r="G276" i="12" a="1"/>
  <c r="G276" i="12" s="1"/>
  <c r="G277" i="12" a="1"/>
  <c r="G277" i="12" s="1"/>
  <c r="G278" i="12" a="1"/>
  <c r="G278" i="12" s="1"/>
  <c r="G279" i="12" a="1"/>
  <c r="G279" i="12" s="1"/>
  <c r="G280" i="12" a="1"/>
  <c r="G280" i="12" s="1"/>
  <c r="G281" i="12" a="1"/>
  <c r="G281" i="12" s="1"/>
  <c r="G282" i="12" a="1"/>
  <c r="G282" i="12" s="1"/>
  <c r="G283" i="12" a="1"/>
  <c r="G283" i="12" s="1"/>
  <c r="G284" i="12" a="1"/>
  <c r="G284" i="12" s="1"/>
  <c r="G285" i="12" a="1"/>
  <c r="G285" i="12" s="1"/>
  <c r="G286" i="12" a="1"/>
  <c r="G286" i="12" s="1"/>
  <c r="G287" i="12" a="1"/>
  <c r="G287" i="12" s="1"/>
  <c r="G288" i="12" a="1"/>
  <c r="G288" i="12" s="1"/>
  <c r="G289" i="12" a="1"/>
  <c r="G289" i="12" s="1"/>
  <c r="G290" i="12" a="1"/>
  <c r="G290" i="12" s="1"/>
  <c r="G291" i="12" a="1"/>
  <c r="G291" i="12" s="1"/>
  <c r="G292" i="12" a="1"/>
  <c r="G292" i="12" s="1"/>
  <c r="G293" i="12" a="1"/>
  <c r="G293" i="12" s="1"/>
  <c r="G294" i="12" a="1"/>
  <c r="G294" i="12" s="1"/>
  <c r="G295" i="12" a="1"/>
  <c r="G295" i="12" s="1"/>
  <c r="G296" i="12" a="1"/>
  <c r="G296" i="12" s="1"/>
  <c r="G297" i="12" a="1"/>
  <c r="G297" i="12" s="1"/>
  <c r="G298" i="12" a="1"/>
  <c r="G298" i="12" s="1"/>
  <c r="G299" i="12" a="1"/>
  <c r="G299" i="12" s="1"/>
  <c r="G300" i="12" a="1"/>
  <c r="G300" i="12" s="1"/>
  <c r="G301" i="12" a="1"/>
  <c r="G301" i="12" s="1"/>
  <c r="G302" i="12" a="1"/>
  <c r="G302" i="12" s="1"/>
  <c r="G303" i="12" a="1"/>
  <c r="G303" i="12" s="1"/>
  <c r="G304" i="12" a="1"/>
  <c r="G304" i="12" s="1"/>
  <c r="G305" i="12" a="1"/>
  <c r="G305" i="12" s="1"/>
  <c r="G306" i="12" a="1"/>
  <c r="G306" i="12" s="1"/>
  <c r="G307" i="12" a="1"/>
  <c r="G307" i="12" s="1"/>
  <c r="G308" i="12" a="1"/>
  <c r="G308" i="12" s="1"/>
  <c r="G309" i="12" a="1"/>
  <c r="G309" i="12" s="1"/>
  <c r="G310" i="12" a="1"/>
  <c r="G310" i="12" s="1"/>
  <c r="G311" i="12" a="1"/>
  <c r="G311" i="12" s="1"/>
  <c r="G312" i="12" a="1"/>
  <c r="G312" i="12" s="1"/>
  <c r="G313" i="12" a="1"/>
  <c r="G313" i="12" s="1"/>
  <c r="G314" i="12" a="1"/>
  <c r="G314" i="12" s="1"/>
  <c r="G315" i="12" a="1"/>
  <c r="G315" i="12" s="1"/>
  <c r="G316" i="12" a="1"/>
  <c r="G316" i="12" s="1"/>
  <c r="G317" i="12" a="1"/>
  <c r="G317" i="12" s="1"/>
  <c r="G318" i="12" a="1"/>
  <c r="G318" i="12" s="1"/>
  <c r="G319" i="12" a="1"/>
  <c r="G319" i="12" s="1"/>
  <c r="G320" i="12" a="1"/>
  <c r="G320" i="12" s="1"/>
  <c r="G321" i="12" a="1"/>
  <c r="G321" i="12" s="1"/>
  <c r="G322" i="12" a="1"/>
  <c r="G322" i="12" s="1"/>
  <c r="G323" i="12" a="1"/>
  <c r="G323" i="12" s="1"/>
  <c r="G324" i="12" a="1"/>
  <c r="G324" i="12" s="1"/>
  <c r="G325" i="12" a="1"/>
  <c r="G325" i="12" s="1"/>
  <c r="G326" i="12" a="1"/>
  <c r="G326" i="12" s="1"/>
  <c r="G327" i="12" a="1"/>
  <c r="G327" i="12" s="1"/>
  <c r="G328" i="12" a="1"/>
  <c r="G328" i="12" s="1"/>
  <c r="G329" i="12" a="1"/>
  <c r="G329" i="12" s="1"/>
  <c r="G330" i="12" a="1"/>
  <c r="G330" i="12" s="1"/>
  <c r="G331" i="12" a="1"/>
  <c r="G331" i="12" s="1"/>
  <c r="G332" i="12" a="1"/>
  <c r="G332" i="12" s="1"/>
  <c r="G333" i="12" a="1"/>
  <c r="G333" i="12" s="1"/>
  <c r="G334" i="12" a="1"/>
  <c r="G334" i="12" s="1"/>
  <c r="G335" i="12" a="1"/>
  <c r="G335" i="12" s="1"/>
  <c r="G336" i="12" a="1"/>
  <c r="G336" i="12" s="1"/>
  <c r="G337" i="12" a="1"/>
  <c r="G337" i="12" s="1"/>
  <c r="G338" i="12" a="1"/>
  <c r="G338" i="12" s="1"/>
  <c r="G339" i="12" a="1"/>
  <c r="G339" i="12" s="1"/>
  <c r="G340" i="12" a="1"/>
  <c r="G340" i="12" s="1"/>
  <c r="G341" i="12" a="1"/>
  <c r="G341" i="12" s="1"/>
  <c r="G342" i="12" a="1"/>
  <c r="G342" i="12" s="1"/>
  <c r="G343" i="12" a="1"/>
  <c r="G343" i="12" s="1"/>
  <c r="G344" i="12" a="1"/>
  <c r="G344" i="12" s="1"/>
  <c r="G345" i="12" a="1"/>
  <c r="G345" i="12" s="1"/>
  <c r="G346" i="12" a="1"/>
  <c r="G346" i="12" s="1"/>
  <c r="G347" i="12" a="1"/>
  <c r="G347" i="12" s="1"/>
  <c r="G348" i="12" a="1"/>
  <c r="G348" i="12" s="1"/>
  <c r="G349" i="12" a="1"/>
  <c r="G349" i="12" s="1"/>
  <c r="G350" i="12" a="1"/>
  <c r="G350" i="12" s="1"/>
  <c r="G351" i="12" a="1"/>
  <c r="G351" i="12" s="1"/>
  <c r="G352" i="12" a="1"/>
  <c r="G352" i="12" s="1"/>
  <c r="G353" i="12" a="1"/>
  <c r="G353" i="12" s="1"/>
  <c r="G354" i="12" a="1"/>
  <c r="G354" i="12" s="1"/>
  <c r="G355" i="12" a="1"/>
  <c r="G355" i="12" s="1"/>
  <c r="G356" i="12" a="1"/>
  <c r="G356" i="12" s="1"/>
  <c r="G357" i="12" a="1"/>
  <c r="G357" i="12" s="1"/>
  <c r="G358" i="12" a="1"/>
  <c r="G358" i="12" s="1"/>
  <c r="G359" i="12" a="1"/>
  <c r="G359" i="12" s="1"/>
  <c r="G360" i="12" a="1"/>
  <c r="G360" i="12" s="1"/>
  <c r="G361" i="12" a="1"/>
  <c r="G361" i="12" s="1"/>
  <c r="G362" i="12" a="1"/>
  <c r="G362" i="12" s="1"/>
  <c r="G363" i="12" a="1"/>
  <c r="G363" i="12" s="1"/>
  <c r="G364" i="12" a="1"/>
  <c r="G364" i="12" s="1"/>
  <c r="G365" i="12" a="1"/>
  <c r="G365" i="12" s="1"/>
  <c r="G366" i="12" a="1"/>
  <c r="G366" i="12" s="1"/>
  <c r="G367" i="12" a="1"/>
  <c r="G367" i="12" s="1"/>
  <c r="G368" i="12" a="1"/>
  <c r="G368" i="12" s="1"/>
  <c r="G369" i="12" a="1"/>
  <c r="G369" i="12" s="1"/>
  <c r="G370" i="12" a="1"/>
  <c r="G370" i="12" s="1"/>
  <c r="G371" i="12" a="1"/>
  <c r="G371" i="12" s="1"/>
  <c r="G372" i="12" a="1"/>
  <c r="G372" i="12" s="1"/>
  <c r="G373" i="12" a="1"/>
  <c r="G373" i="12" s="1"/>
  <c r="G374" i="12" a="1"/>
  <c r="G374" i="12" s="1"/>
  <c r="G375" i="12" a="1"/>
  <c r="G375" i="12" s="1"/>
  <c r="G376" i="12" a="1"/>
  <c r="G376" i="12" s="1"/>
  <c r="G377" i="12" a="1"/>
  <c r="G377" i="12" s="1"/>
  <c r="G378" i="12" a="1"/>
  <c r="G378" i="12" s="1"/>
  <c r="G379" i="12" a="1"/>
  <c r="G379" i="12" s="1"/>
  <c r="G380" i="12" a="1"/>
  <c r="G380" i="12" s="1"/>
  <c r="G381" i="12" a="1"/>
  <c r="G381" i="12" s="1"/>
  <c r="G382" i="12" a="1"/>
  <c r="G382" i="12" s="1"/>
  <c r="G383" i="12" a="1"/>
  <c r="G383" i="12" s="1"/>
  <c r="G384" i="12" a="1"/>
  <c r="G384" i="12" s="1"/>
  <c r="G385" i="12" a="1"/>
  <c r="G385" i="12" s="1"/>
  <c r="G21" i="12" a="1"/>
  <c r="G21" i="12" s="1"/>
  <c r="J20" i="12"/>
  <c r="J22" i="12" s="1"/>
  <c r="C7" i="12" a="1"/>
  <c r="C7" i="12" s="1"/>
  <c r="J21" i="12" l="1" a="1"/>
  <c r="J21" i="12" s="1"/>
  <c r="H9" i="12" a="1"/>
  <c r="H9" i="12" s="1"/>
  <c r="N22" i="12" a="1"/>
  <c r="N22" i="12" s="1"/>
  <c r="J23" i="12" s="1"/>
  <c r="N25" i="12" l="1"/>
  <c r="N24" i="12"/>
  <c r="N23" i="12"/>
  <c r="N26" i="12"/>
  <c r="F22" i="12" l="1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1" i="12" a="1"/>
  <c r="F61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F114" i="12" a="1"/>
  <c r="F114" i="12" s="1"/>
  <c r="F115" i="12" a="1"/>
  <c r="F115" i="12" s="1"/>
  <c r="F116" i="12" a="1"/>
  <c r="F116" i="12" s="1"/>
  <c r="F117" i="12" a="1"/>
  <c r="F117" i="12" s="1"/>
  <c r="F118" i="12" a="1"/>
  <c r="F118" i="12" s="1"/>
  <c r="F119" i="12" a="1"/>
  <c r="F119" i="12" s="1"/>
  <c r="F120" i="12" a="1"/>
  <c r="F120" i="12" s="1"/>
  <c r="F121" i="12" a="1"/>
  <c r="F121" i="12" s="1"/>
  <c r="F122" i="12" a="1"/>
  <c r="F122" i="12" s="1"/>
  <c r="F123" i="12" a="1"/>
  <c r="F123" i="12" s="1"/>
  <c r="F124" i="12" a="1"/>
  <c r="F124" i="12" s="1"/>
  <c r="F125" i="12" a="1"/>
  <c r="F125" i="12" s="1"/>
  <c r="F126" i="12" a="1"/>
  <c r="F126" i="12" s="1"/>
  <c r="F127" i="12" a="1"/>
  <c r="F127" i="12" s="1"/>
  <c r="F128" i="12" a="1"/>
  <c r="F128" i="12" s="1"/>
  <c r="F129" i="12" a="1"/>
  <c r="F129" i="12" s="1"/>
  <c r="F130" i="12" a="1"/>
  <c r="F130" i="12" s="1"/>
  <c r="F131" i="12" a="1"/>
  <c r="F131" i="12" s="1"/>
  <c r="F132" i="12" a="1"/>
  <c r="F132" i="12" s="1"/>
  <c r="F133" i="12" a="1"/>
  <c r="F133" i="12" s="1"/>
  <c r="F134" i="12" a="1"/>
  <c r="F134" i="12" s="1"/>
  <c r="F135" i="12" a="1"/>
  <c r="F135" i="12" s="1"/>
  <c r="F136" i="12" a="1"/>
  <c r="F136" i="12" s="1"/>
  <c r="F137" i="12" a="1"/>
  <c r="F137" i="12" s="1"/>
  <c r="F138" i="12" a="1"/>
  <c r="F138" i="12" s="1"/>
  <c r="F139" i="12" a="1"/>
  <c r="F139" i="12" s="1"/>
  <c r="F140" i="12" a="1"/>
  <c r="F140" i="12" s="1"/>
  <c r="F141" i="12" a="1"/>
  <c r="F141" i="12" s="1"/>
  <c r="F142" i="12" a="1"/>
  <c r="F142" i="12" s="1"/>
  <c r="F143" i="12" a="1"/>
  <c r="F143" i="12" s="1"/>
  <c r="F144" i="12" a="1"/>
  <c r="F144" i="12" s="1"/>
  <c r="F145" i="12" a="1"/>
  <c r="F145" i="12" s="1"/>
  <c r="F146" i="12" a="1"/>
  <c r="F146" i="12" s="1"/>
  <c r="F147" i="12" a="1"/>
  <c r="F147" i="12" s="1"/>
  <c r="F148" i="12" a="1"/>
  <c r="F148" i="12" s="1"/>
  <c r="F149" i="12" a="1"/>
  <c r="F149" i="12" s="1"/>
  <c r="F150" i="12" a="1"/>
  <c r="F150" i="12" s="1"/>
  <c r="F151" i="12" a="1"/>
  <c r="F151" i="12" s="1"/>
  <c r="F152" i="12" a="1"/>
  <c r="F152" i="12" s="1"/>
  <c r="F153" i="12" a="1"/>
  <c r="F153" i="12" s="1"/>
  <c r="F154" i="12" a="1"/>
  <c r="F154" i="12" s="1"/>
  <c r="F155" i="12" a="1"/>
  <c r="F155" i="12" s="1"/>
  <c r="F156" i="12" a="1"/>
  <c r="F156" i="12" s="1"/>
  <c r="F157" i="12" a="1"/>
  <c r="F157" i="12" s="1"/>
  <c r="F158" i="12" a="1"/>
  <c r="F158" i="12" s="1"/>
  <c r="F159" i="12" a="1"/>
  <c r="F159" i="12" s="1"/>
  <c r="F160" i="12" a="1"/>
  <c r="F160" i="12" s="1"/>
  <c r="F161" i="12" a="1"/>
  <c r="F161" i="12" s="1"/>
  <c r="F162" i="12" a="1"/>
  <c r="F162" i="12" s="1"/>
  <c r="F163" i="12" a="1"/>
  <c r="F163" i="12" s="1"/>
  <c r="F164" i="12" a="1"/>
  <c r="F164" i="12" s="1"/>
  <c r="F165" i="12" a="1"/>
  <c r="F165" i="12" s="1"/>
  <c r="F166" i="12" a="1"/>
  <c r="F166" i="12" s="1"/>
  <c r="F167" i="12" a="1"/>
  <c r="F167" i="12" s="1"/>
  <c r="F168" i="12" a="1"/>
  <c r="F168" i="12" s="1"/>
  <c r="F169" i="12" a="1"/>
  <c r="F169" i="12" s="1"/>
  <c r="F170" i="12" a="1"/>
  <c r="F170" i="12" s="1"/>
  <c r="F171" i="12" a="1"/>
  <c r="F171" i="12" s="1"/>
  <c r="F172" i="12" a="1"/>
  <c r="F172" i="12" s="1"/>
  <c r="F173" i="12" a="1"/>
  <c r="F173" i="12" s="1"/>
  <c r="F174" i="12" a="1"/>
  <c r="F174" i="12" s="1"/>
  <c r="F175" i="12" a="1"/>
  <c r="F175" i="12" s="1"/>
  <c r="F176" i="12" a="1"/>
  <c r="F176" i="12" s="1"/>
  <c r="F177" i="12" a="1"/>
  <c r="F177" i="12" s="1"/>
  <c r="F178" i="12" a="1"/>
  <c r="F178" i="12" s="1"/>
  <c r="F179" i="12" a="1"/>
  <c r="F179" i="12" s="1"/>
  <c r="F180" i="12" a="1"/>
  <c r="F180" i="12" s="1"/>
  <c r="F181" i="12" a="1"/>
  <c r="F181" i="12" s="1"/>
  <c r="F182" i="12" a="1"/>
  <c r="F182" i="12" s="1"/>
  <c r="F183" i="12" a="1"/>
  <c r="F183" i="12" s="1"/>
  <c r="F184" i="12" a="1"/>
  <c r="F184" i="12" s="1"/>
  <c r="F185" i="12" a="1"/>
  <c r="F185" i="12" s="1"/>
  <c r="F186" i="12" a="1"/>
  <c r="F186" i="12" s="1"/>
  <c r="F187" i="12" a="1"/>
  <c r="F187" i="12" s="1"/>
  <c r="F188" i="12" a="1"/>
  <c r="F188" i="12" s="1"/>
  <c r="F189" i="12" a="1"/>
  <c r="F189" i="12" s="1"/>
  <c r="F190" i="12" a="1"/>
  <c r="F190" i="12" s="1"/>
  <c r="F191" i="12" a="1"/>
  <c r="F191" i="12" s="1"/>
  <c r="F192" i="12" a="1"/>
  <c r="F192" i="12" s="1"/>
  <c r="F193" i="12" a="1"/>
  <c r="F193" i="12" s="1"/>
  <c r="F194" i="12" a="1"/>
  <c r="F194" i="12" s="1"/>
  <c r="F195" i="12" a="1"/>
  <c r="F195" i="12" s="1"/>
  <c r="F196" i="12" a="1"/>
  <c r="F196" i="12" s="1"/>
  <c r="F197" i="12" a="1"/>
  <c r="F197" i="12" s="1"/>
  <c r="F198" i="12" a="1"/>
  <c r="F198" i="12" s="1"/>
  <c r="F199" i="12" a="1"/>
  <c r="F199" i="12" s="1"/>
  <c r="F200" i="12" a="1"/>
  <c r="F200" i="12" s="1"/>
  <c r="F201" i="12" a="1"/>
  <c r="F201" i="12" s="1"/>
  <c r="F202" i="12" a="1"/>
  <c r="F202" i="12" s="1"/>
  <c r="F203" i="12" a="1"/>
  <c r="F203" i="12" s="1"/>
  <c r="F204" i="12" a="1"/>
  <c r="F204" i="12" s="1"/>
  <c r="F205" i="12" a="1"/>
  <c r="F205" i="12" s="1"/>
  <c r="F206" i="12" a="1"/>
  <c r="F206" i="12" s="1"/>
  <c r="F207" i="12" a="1"/>
  <c r="F207" i="12" s="1"/>
  <c r="F208" i="12" a="1"/>
  <c r="F208" i="12" s="1"/>
  <c r="F209" i="12" a="1"/>
  <c r="F209" i="12" s="1"/>
  <c r="F210" i="12" a="1"/>
  <c r="F210" i="12" s="1"/>
  <c r="F211" i="12" a="1"/>
  <c r="F211" i="12" s="1"/>
  <c r="F212" i="12" a="1"/>
  <c r="F212" i="12" s="1"/>
  <c r="F213" i="12" a="1"/>
  <c r="F213" i="12" s="1"/>
  <c r="F214" i="12" a="1"/>
  <c r="F214" i="12" s="1"/>
  <c r="F215" i="12" a="1"/>
  <c r="F215" i="12" s="1"/>
  <c r="F216" i="12" a="1"/>
  <c r="F216" i="12" s="1"/>
  <c r="F217" i="12" a="1"/>
  <c r="F217" i="12" s="1"/>
  <c r="F218" i="12" a="1"/>
  <c r="F218" i="12" s="1"/>
  <c r="F219" i="12" a="1"/>
  <c r="F219" i="12" s="1"/>
  <c r="F220" i="12" a="1"/>
  <c r="F220" i="12" s="1"/>
  <c r="F221" i="12" a="1"/>
  <c r="F221" i="12" s="1"/>
  <c r="F222" i="12" a="1"/>
  <c r="F222" i="12" s="1"/>
  <c r="F223" i="12" a="1"/>
  <c r="F223" i="12" s="1"/>
  <c r="F224" i="12" a="1"/>
  <c r="F224" i="12" s="1"/>
  <c r="F225" i="12" a="1"/>
  <c r="F225" i="12" s="1"/>
  <c r="F226" i="12" a="1"/>
  <c r="F226" i="12" s="1"/>
  <c r="F227" i="12" a="1"/>
  <c r="F227" i="12" s="1"/>
  <c r="F228" i="12" a="1"/>
  <c r="F228" i="12" s="1"/>
  <c r="F229" i="12" a="1"/>
  <c r="F229" i="12" s="1"/>
  <c r="F230" i="12" a="1"/>
  <c r="F230" i="12" s="1"/>
  <c r="F231" i="12" a="1"/>
  <c r="F231" i="12" s="1"/>
  <c r="F232" i="12" a="1"/>
  <c r="F232" i="12" s="1"/>
  <c r="F233" i="12" a="1"/>
  <c r="F233" i="12" s="1"/>
  <c r="F234" i="12" a="1"/>
  <c r="F234" i="12" s="1"/>
  <c r="F235" i="12" a="1"/>
  <c r="F235" i="12" s="1"/>
  <c r="F236" i="12" a="1"/>
  <c r="F236" i="12" s="1"/>
  <c r="F237" i="12" a="1"/>
  <c r="F237" i="12" s="1"/>
  <c r="F238" i="12" a="1"/>
  <c r="F238" i="12" s="1"/>
  <c r="F239" i="12" a="1"/>
  <c r="F239" i="12" s="1"/>
  <c r="F240" i="12" a="1"/>
  <c r="F240" i="12" s="1"/>
  <c r="F241" i="12" a="1"/>
  <c r="F241" i="12" s="1"/>
  <c r="F242" i="12" a="1"/>
  <c r="F242" i="12" s="1"/>
  <c r="F243" i="12" a="1"/>
  <c r="F243" i="12" s="1"/>
  <c r="F244" i="12" a="1"/>
  <c r="F244" i="12" s="1"/>
  <c r="F245" i="12" a="1"/>
  <c r="F245" i="12" s="1"/>
  <c r="F246" i="12" a="1"/>
  <c r="F246" i="12" s="1"/>
  <c r="F247" i="12" a="1"/>
  <c r="F247" i="12" s="1"/>
  <c r="F248" i="12" a="1"/>
  <c r="F248" i="12" s="1"/>
  <c r="F249" i="12" a="1"/>
  <c r="F249" i="12" s="1"/>
  <c r="F250" i="12" a="1"/>
  <c r="F250" i="12" s="1"/>
  <c r="F251" i="12" a="1"/>
  <c r="F251" i="12" s="1"/>
  <c r="F252" i="12" a="1"/>
  <c r="F252" i="12" s="1"/>
  <c r="F253" i="12" a="1"/>
  <c r="F253" i="12" s="1"/>
  <c r="F254" i="12" a="1"/>
  <c r="F254" i="12" s="1"/>
  <c r="F255" i="12" a="1"/>
  <c r="F255" i="12" s="1"/>
  <c r="F256" i="12" a="1"/>
  <c r="F256" i="12" s="1"/>
  <c r="F257" i="12" a="1"/>
  <c r="F257" i="12" s="1"/>
  <c r="F258" i="12" a="1"/>
  <c r="F258" i="12" s="1"/>
  <c r="F259" i="12" a="1"/>
  <c r="F259" i="12" s="1"/>
  <c r="F260" i="12" a="1"/>
  <c r="F260" i="12" s="1"/>
  <c r="F261" i="12" a="1"/>
  <c r="F261" i="12" s="1"/>
  <c r="F262" i="12" a="1"/>
  <c r="F262" i="12" s="1"/>
  <c r="F263" i="12" a="1"/>
  <c r="F263" i="12" s="1"/>
  <c r="F264" i="12" a="1"/>
  <c r="F264" i="12" s="1"/>
  <c r="F265" i="12" a="1"/>
  <c r="F265" i="12" s="1"/>
  <c r="F266" i="12" a="1"/>
  <c r="F266" i="12" s="1"/>
  <c r="F267" i="12" a="1"/>
  <c r="F267" i="12" s="1"/>
  <c r="F268" i="12" a="1"/>
  <c r="F268" i="12" s="1"/>
  <c r="F269" i="12" a="1"/>
  <c r="F269" i="12" s="1"/>
  <c r="F270" i="12" a="1"/>
  <c r="F270" i="12" s="1"/>
  <c r="F271" i="12" a="1"/>
  <c r="F271" i="12" s="1"/>
  <c r="F272" i="12" a="1"/>
  <c r="F272" i="12" s="1"/>
  <c r="F273" i="12" a="1"/>
  <c r="F273" i="12" s="1"/>
  <c r="F274" i="12" a="1"/>
  <c r="F274" i="12" s="1"/>
  <c r="F275" i="12" a="1"/>
  <c r="F275" i="12" s="1"/>
  <c r="F276" i="12" a="1"/>
  <c r="F276" i="12" s="1"/>
  <c r="F277" i="12" a="1"/>
  <c r="F277" i="12" s="1"/>
  <c r="F278" i="12" a="1"/>
  <c r="F278" i="12" s="1"/>
  <c r="F279" i="12" a="1"/>
  <c r="F279" i="12" s="1"/>
  <c r="F280" i="12" a="1"/>
  <c r="F280" i="12" s="1"/>
  <c r="F281" i="12" a="1"/>
  <c r="F281" i="12" s="1"/>
  <c r="F282" i="12" a="1"/>
  <c r="F282" i="12" s="1"/>
  <c r="F283" i="12" a="1"/>
  <c r="F283" i="12" s="1"/>
  <c r="F284" i="12" a="1"/>
  <c r="F284" i="12" s="1"/>
  <c r="F285" i="12" a="1"/>
  <c r="F285" i="12" s="1"/>
  <c r="F286" i="12" a="1"/>
  <c r="F286" i="12" s="1"/>
  <c r="F287" i="12" a="1"/>
  <c r="F287" i="12" s="1"/>
  <c r="F288" i="12" a="1"/>
  <c r="F288" i="12" s="1"/>
  <c r="F289" i="12" a="1"/>
  <c r="F289" i="12" s="1"/>
  <c r="F290" i="12" a="1"/>
  <c r="F290" i="12" s="1"/>
  <c r="F291" i="12" a="1"/>
  <c r="F291" i="12" s="1"/>
  <c r="F292" i="12" a="1"/>
  <c r="F292" i="12" s="1"/>
  <c r="F293" i="12" a="1"/>
  <c r="F293" i="12" s="1"/>
  <c r="F294" i="12" a="1"/>
  <c r="F294" i="12" s="1"/>
  <c r="F295" i="12" a="1"/>
  <c r="F295" i="12" s="1"/>
  <c r="F296" i="12" a="1"/>
  <c r="F296" i="12" s="1"/>
  <c r="F297" i="12" a="1"/>
  <c r="F297" i="12" s="1"/>
  <c r="F298" i="12" a="1"/>
  <c r="F298" i="12" s="1"/>
  <c r="F299" i="12" a="1"/>
  <c r="F299" i="12" s="1"/>
  <c r="F300" i="12" a="1"/>
  <c r="F300" i="12" s="1"/>
  <c r="F301" i="12" a="1"/>
  <c r="F301" i="12" s="1"/>
  <c r="F302" i="12" a="1"/>
  <c r="F302" i="12" s="1"/>
  <c r="F303" i="12" a="1"/>
  <c r="F303" i="12" s="1"/>
  <c r="F304" i="12" a="1"/>
  <c r="F304" i="12" s="1"/>
  <c r="F305" i="12" a="1"/>
  <c r="F305" i="12" s="1"/>
  <c r="F306" i="12" a="1"/>
  <c r="F306" i="12" s="1"/>
  <c r="F307" i="12" a="1"/>
  <c r="F307" i="12" s="1"/>
  <c r="F308" i="12" a="1"/>
  <c r="F308" i="12" s="1"/>
  <c r="F309" i="12" a="1"/>
  <c r="F309" i="12" s="1"/>
  <c r="F310" i="12" a="1"/>
  <c r="F310" i="12" s="1"/>
  <c r="F311" i="12" a="1"/>
  <c r="F311" i="12" s="1"/>
  <c r="F312" i="12" a="1"/>
  <c r="F312" i="12" s="1"/>
  <c r="F313" i="12" a="1"/>
  <c r="F313" i="12" s="1"/>
  <c r="F314" i="12" a="1"/>
  <c r="F314" i="12" s="1"/>
  <c r="F315" i="12" a="1"/>
  <c r="F315" i="12" s="1"/>
  <c r="F316" i="12" a="1"/>
  <c r="F316" i="12" s="1"/>
  <c r="F317" i="12" a="1"/>
  <c r="F317" i="12" s="1"/>
  <c r="F318" i="12" a="1"/>
  <c r="F318" i="12" s="1"/>
  <c r="F319" i="12" a="1"/>
  <c r="F319" i="12" s="1"/>
  <c r="F320" i="12" a="1"/>
  <c r="F320" i="12" s="1"/>
  <c r="F321" i="12" a="1"/>
  <c r="F321" i="12" s="1"/>
  <c r="F322" i="12" a="1"/>
  <c r="F322" i="12" s="1"/>
  <c r="F323" i="12" a="1"/>
  <c r="F323" i="12" s="1"/>
  <c r="F324" i="12" a="1"/>
  <c r="F324" i="12" s="1"/>
  <c r="F325" i="12" a="1"/>
  <c r="F325" i="12" s="1"/>
  <c r="F326" i="12" a="1"/>
  <c r="F326" i="12" s="1"/>
  <c r="F327" i="12" a="1"/>
  <c r="F327" i="12" s="1"/>
  <c r="F328" i="12" a="1"/>
  <c r="F328" i="12" s="1"/>
  <c r="F329" i="12" a="1"/>
  <c r="F329" i="12" s="1"/>
  <c r="F330" i="12" a="1"/>
  <c r="F330" i="12" s="1"/>
  <c r="F331" i="12" a="1"/>
  <c r="F331" i="12" s="1"/>
  <c r="F332" i="12" a="1"/>
  <c r="F332" i="12" s="1"/>
  <c r="F333" i="12" a="1"/>
  <c r="F333" i="12" s="1"/>
  <c r="F334" i="12" a="1"/>
  <c r="F334" i="12" s="1"/>
  <c r="F335" i="12" a="1"/>
  <c r="F335" i="12" s="1"/>
  <c r="F336" i="12" a="1"/>
  <c r="F336" i="12" s="1"/>
  <c r="F337" i="12" a="1"/>
  <c r="F337" i="12" s="1"/>
  <c r="F338" i="12" a="1"/>
  <c r="F338" i="12" s="1"/>
  <c r="F339" i="12" a="1"/>
  <c r="F339" i="12" s="1"/>
  <c r="F340" i="12" a="1"/>
  <c r="F340" i="12" s="1"/>
  <c r="F341" i="12" a="1"/>
  <c r="F341" i="12" s="1"/>
  <c r="F342" i="12" a="1"/>
  <c r="F342" i="12" s="1"/>
  <c r="F343" i="12" a="1"/>
  <c r="F343" i="12" s="1"/>
  <c r="F344" i="12" a="1"/>
  <c r="F344" i="12" s="1"/>
  <c r="F345" i="12" a="1"/>
  <c r="F345" i="12" s="1"/>
  <c r="F346" i="12" a="1"/>
  <c r="F346" i="12" s="1"/>
  <c r="F347" i="12" a="1"/>
  <c r="F347" i="12" s="1"/>
  <c r="F348" i="12" a="1"/>
  <c r="F348" i="12" s="1"/>
  <c r="F349" i="12" a="1"/>
  <c r="F349" i="12" s="1"/>
  <c r="F350" i="12" a="1"/>
  <c r="F350" i="12" s="1"/>
  <c r="F351" i="12" a="1"/>
  <c r="F351" i="12" s="1"/>
  <c r="F352" i="12" a="1"/>
  <c r="F352" i="12" s="1"/>
  <c r="F353" i="12" a="1"/>
  <c r="F353" i="12" s="1"/>
  <c r="F354" i="12" a="1"/>
  <c r="F354" i="12" s="1"/>
  <c r="F355" i="12" a="1"/>
  <c r="F355" i="12" s="1"/>
  <c r="F356" i="12" a="1"/>
  <c r="F356" i="12" s="1"/>
  <c r="F357" i="12" a="1"/>
  <c r="F357" i="12" s="1"/>
  <c r="F358" i="12" a="1"/>
  <c r="F358" i="12" s="1"/>
  <c r="F359" i="12" a="1"/>
  <c r="F359" i="12" s="1"/>
  <c r="F360" i="12" a="1"/>
  <c r="F360" i="12" s="1"/>
  <c r="F361" i="12" a="1"/>
  <c r="F361" i="12" s="1"/>
  <c r="F362" i="12" a="1"/>
  <c r="F362" i="12" s="1"/>
  <c r="F363" i="12" a="1"/>
  <c r="F363" i="12" s="1"/>
  <c r="F364" i="12" a="1"/>
  <c r="F364" i="12" s="1"/>
  <c r="F365" i="12" a="1"/>
  <c r="F365" i="12" s="1"/>
  <c r="F366" i="12" a="1"/>
  <c r="F366" i="12" s="1"/>
  <c r="F367" i="12" a="1"/>
  <c r="F367" i="12" s="1"/>
  <c r="F368" i="12" a="1"/>
  <c r="F368" i="12" s="1"/>
  <c r="F369" i="12" a="1"/>
  <c r="F369" i="12" s="1"/>
  <c r="F370" i="12" a="1"/>
  <c r="F370" i="12" s="1"/>
  <c r="F371" i="12" a="1"/>
  <c r="F371" i="12" s="1"/>
  <c r="F372" i="12" a="1"/>
  <c r="F372" i="12" s="1"/>
  <c r="F373" i="12" a="1"/>
  <c r="F373" i="12" s="1"/>
  <c r="F374" i="12" a="1"/>
  <c r="F374" i="12" s="1"/>
  <c r="F375" i="12" a="1"/>
  <c r="F375" i="12" s="1"/>
  <c r="F376" i="12" a="1"/>
  <c r="F376" i="12" s="1"/>
  <c r="F377" i="12" a="1"/>
  <c r="F377" i="12" s="1"/>
  <c r="F378" i="12" a="1"/>
  <c r="F378" i="12" s="1"/>
  <c r="F379" i="12" a="1"/>
  <c r="F379" i="12" s="1"/>
  <c r="F380" i="12" a="1"/>
  <c r="F380" i="12" s="1"/>
  <c r="F381" i="12" a="1"/>
  <c r="F381" i="12" s="1"/>
  <c r="F382" i="12" a="1"/>
  <c r="F382" i="12" s="1"/>
  <c r="F383" i="12" a="1"/>
  <c r="F383" i="12" s="1"/>
  <c r="F384" i="12" a="1"/>
  <c r="F384" i="12" s="1"/>
  <c r="F385" i="12" a="1"/>
  <c r="F385" i="12" s="1"/>
  <c r="F21" i="12" a="1"/>
  <c r="F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1" i="12" a="1"/>
  <c r="E61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E114" i="12" a="1"/>
  <c r="E114" i="12" s="1"/>
  <c r="E115" i="12" a="1"/>
  <c r="E115" i="12" s="1"/>
  <c r="E116" i="12" a="1"/>
  <c r="E116" i="12" s="1"/>
  <c r="E117" i="12" a="1"/>
  <c r="E117" i="12" s="1"/>
  <c r="E118" i="12" a="1"/>
  <c r="E118" i="12" s="1"/>
  <c r="E119" i="12" a="1"/>
  <c r="E119" i="12" s="1"/>
  <c r="E120" i="12" a="1"/>
  <c r="E120" i="12" s="1"/>
  <c r="E121" i="12" a="1"/>
  <c r="E121" i="12" s="1"/>
  <c r="E122" i="12" a="1"/>
  <c r="E122" i="12" s="1"/>
  <c r="E123" i="12" a="1"/>
  <c r="E123" i="12" s="1"/>
  <c r="E124" i="12" a="1"/>
  <c r="E124" i="12" s="1"/>
  <c r="E125" i="12" a="1"/>
  <c r="E125" i="12" s="1"/>
  <c r="E126" i="12" a="1"/>
  <c r="E126" i="12" s="1"/>
  <c r="E127" i="12" a="1"/>
  <c r="E127" i="12" s="1"/>
  <c r="E128" i="12" a="1"/>
  <c r="E128" i="12" s="1"/>
  <c r="E129" i="12" a="1"/>
  <c r="E129" i="12" s="1"/>
  <c r="E130" i="12" a="1"/>
  <c r="E130" i="12" s="1"/>
  <c r="E131" i="12" a="1"/>
  <c r="E131" i="12" s="1"/>
  <c r="E132" i="12" a="1"/>
  <c r="E132" i="12" s="1"/>
  <c r="E133" i="12" a="1"/>
  <c r="E133" i="12" s="1"/>
  <c r="E134" i="12" a="1"/>
  <c r="E134" i="12" s="1"/>
  <c r="E135" i="12" a="1"/>
  <c r="E135" i="12" s="1"/>
  <c r="E136" i="12" a="1"/>
  <c r="E136" i="12" s="1"/>
  <c r="E137" i="12" a="1"/>
  <c r="E137" i="12" s="1"/>
  <c r="E138" i="12" a="1"/>
  <c r="E138" i="12" s="1"/>
  <c r="E139" i="12" a="1"/>
  <c r="E139" i="12" s="1"/>
  <c r="E140" i="12" a="1"/>
  <c r="E140" i="12" s="1"/>
  <c r="E141" i="12" a="1"/>
  <c r="E141" i="12" s="1"/>
  <c r="E142" i="12" a="1"/>
  <c r="E142" i="12" s="1"/>
  <c r="E143" i="12" a="1"/>
  <c r="E143" i="12" s="1"/>
  <c r="E144" i="12" a="1"/>
  <c r="E144" i="12" s="1"/>
  <c r="E145" i="12" a="1"/>
  <c r="E145" i="12" s="1"/>
  <c r="E146" i="12" a="1"/>
  <c r="E146" i="12" s="1"/>
  <c r="E147" i="12" a="1"/>
  <c r="E147" i="12" s="1"/>
  <c r="E148" i="12" a="1"/>
  <c r="E148" i="12" s="1"/>
  <c r="E149" i="12" a="1"/>
  <c r="E149" i="12" s="1"/>
  <c r="E150" i="12" a="1"/>
  <c r="E150" i="12" s="1"/>
  <c r="E151" i="12" a="1"/>
  <c r="E151" i="12" s="1"/>
  <c r="E152" i="12" a="1"/>
  <c r="E152" i="12" s="1"/>
  <c r="E153" i="12" a="1"/>
  <c r="E153" i="12" s="1"/>
  <c r="E154" i="12" a="1"/>
  <c r="E154" i="12" s="1"/>
  <c r="E155" i="12" a="1"/>
  <c r="E155" i="12" s="1"/>
  <c r="E156" i="12" a="1"/>
  <c r="E156" i="12" s="1"/>
  <c r="E157" i="12" a="1"/>
  <c r="E157" i="12" s="1"/>
  <c r="E158" i="12" a="1"/>
  <c r="E158" i="12" s="1"/>
  <c r="E159" i="12" a="1"/>
  <c r="E159" i="12" s="1"/>
  <c r="E160" i="12" a="1"/>
  <c r="E160" i="12" s="1"/>
  <c r="E161" i="12" a="1"/>
  <c r="E161" i="12" s="1"/>
  <c r="E162" i="12" a="1"/>
  <c r="E162" i="12" s="1"/>
  <c r="E163" i="12" a="1"/>
  <c r="E163" i="12" s="1"/>
  <c r="E164" i="12" a="1"/>
  <c r="E164" i="12" s="1"/>
  <c r="E165" i="12" a="1"/>
  <c r="E165" i="12" s="1"/>
  <c r="E166" i="12" a="1"/>
  <c r="E166" i="12" s="1"/>
  <c r="E167" i="12" a="1"/>
  <c r="E167" i="12" s="1"/>
  <c r="E168" i="12" a="1"/>
  <c r="E168" i="12" s="1"/>
  <c r="E169" i="12" a="1"/>
  <c r="E169" i="12" s="1"/>
  <c r="E170" i="12" a="1"/>
  <c r="E170" i="12" s="1"/>
  <c r="E171" i="12" a="1"/>
  <c r="E171" i="12" s="1"/>
  <c r="E172" i="12" a="1"/>
  <c r="E172" i="12" s="1"/>
  <c r="E173" i="12" a="1"/>
  <c r="E173" i="12" s="1"/>
  <c r="E174" i="12" a="1"/>
  <c r="E174" i="12" s="1"/>
  <c r="E175" i="12" a="1"/>
  <c r="E175" i="12" s="1"/>
  <c r="E176" i="12" a="1"/>
  <c r="E176" i="12" s="1"/>
  <c r="E177" i="12" a="1"/>
  <c r="E177" i="12" s="1"/>
  <c r="E178" i="12" a="1"/>
  <c r="E178" i="12" s="1"/>
  <c r="E179" i="12" a="1"/>
  <c r="E179" i="12" s="1"/>
  <c r="E180" i="12" a="1"/>
  <c r="E180" i="12" s="1"/>
  <c r="E181" i="12" a="1"/>
  <c r="E181" i="12" s="1"/>
  <c r="E182" i="12" a="1"/>
  <c r="E182" i="12" s="1"/>
  <c r="E183" i="12" a="1"/>
  <c r="E183" i="12" s="1"/>
  <c r="E184" i="12" a="1"/>
  <c r="E184" i="12" s="1"/>
  <c r="E185" i="12" a="1"/>
  <c r="E185" i="12" s="1"/>
  <c r="E186" i="12" a="1"/>
  <c r="E186" i="12" s="1"/>
  <c r="E187" i="12" a="1"/>
  <c r="E187" i="12" s="1"/>
  <c r="E188" i="12" a="1"/>
  <c r="E188" i="12" s="1"/>
  <c r="E189" i="12" a="1"/>
  <c r="E189" i="12" s="1"/>
  <c r="E190" i="12" a="1"/>
  <c r="E190" i="12" s="1"/>
  <c r="E191" i="12" a="1"/>
  <c r="E191" i="12" s="1"/>
  <c r="E192" i="12" a="1"/>
  <c r="E192" i="12" s="1"/>
  <c r="E193" i="12" a="1"/>
  <c r="E193" i="12" s="1"/>
  <c r="E194" i="12" a="1"/>
  <c r="E194" i="12" s="1"/>
  <c r="E195" i="12" a="1"/>
  <c r="E195" i="12" s="1"/>
  <c r="E196" i="12" a="1"/>
  <c r="E196" i="12" s="1"/>
  <c r="E197" i="12" a="1"/>
  <c r="E197" i="12" s="1"/>
  <c r="E198" i="12" a="1"/>
  <c r="E198" i="12" s="1"/>
  <c r="E199" i="12" a="1"/>
  <c r="E199" i="12" s="1"/>
  <c r="E200" i="12" a="1"/>
  <c r="E200" i="12" s="1"/>
  <c r="E201" i="12" a="1"/>
  <c r="E201" i="12" s="1"/>
  <c r="E202" i="12" a="1"/>
  <c r="E202" i="12" s="1"/>
  <c r="E203" i="12" a="1"/>
  <c r="E203" i="12" s="1"/>
  <c r="E204" i="12" a="1"/>
  <c r="E204" i="12" s="1"/>
  <c r="E205" i="12" a="1"/>
  <c r="E205" i="12" s="1"/>
  <c r="E206" i="12" a="1"/>
  <c r="E206" i="12" s="1"/>
  <c r="E207" i="12" a="1"/>
  <c r="E207" i="12" s="1"/>
  <c r="E208" i="12" a="1"/>
  <c r="E208" i="12" s="1"/>
  <c r="E209" i="12" a="1"/>
  <c r="E209" i="12" s="1"/>
  <c r="E210" i="12" a="1"/>
  <c r="E210" i="12" s="1"/>
  <c r="E211" i="12" a="1"/>
  <c r="E211" i="12" s="1"/>
  <c r="E212" i="12" a="1"/>
  <c r="E212" i="12" s="1"/>
  <c r="E213" i="12" a="1"/>
  <c r="E213" i="12" s="1"/>
  <c r="E214" i="12" a="1"/>
  <c r="E214" i="12" s="1"/>
  <c r="E215" i="12" a="1"/>
  <c r="E215" i="12" s="1"/>
  <c r="E216" i="12" a="1"/>
  <c r="E216" i="12" s="1"/>
  <c r="E217" i="12" a="1"/>
  <c r="E217" i="12" s="1"/>
  <c r="E218" i="12" a="1"/>
  <c r="E218" i="12" s="1"/>
  <c r="E219" i="12" a="1"/>
  <c r="E219" i="12" s="1"/>
  <c r="E220" i="12" a="1"/>
  <c r="E220" i="12" s="1"/>
  <c r="E221" i="12" a="1"/>
  <c r="E221" i="12" s="1"/>
  <c r="E222" i="12" a="1"/>
  <c r="E222" i="12" s="1"/>
  <c r="E223" i="12" a="1"/>
  <c r="E223" i="12" s="1"/>
  <c r="E224" i="12" a="1"/>
  <c r="E224" i="12" s="1"/>
  <c r="E225" i="12" a="1"/>
  <c r="E225" i="12" s="1"/>
  <c r="E226" i="12" a="1"/>
  <c r="E226" i="12" s="1"/>
  <c r="E227" i="12" a="1"/>
  <c r="E227" i="12" s="1"/>
  <c r="E228" i="12" a="1"/>
  <c r="E228" i="12" s="1"/>
  <c r="E229" i="12" a="1"/>
  <c r="E229" i="12" s="1"/>
  <c r="E230" i="12" a="1"/>
  <c r="E230" i="12" s="1"/>
  <c r="E231" i="12" a="1"/>
  <c r="E231" i="12" s="1"/>
  <c r="E232" i="12" a="1"/>
  <c r="E232" i="12" s="1"/>
  <c r="E233" i="12" a="1"/>
  <c r="E233" i="12" s="1"/>
  <c r="E234" i="12" a="1"/>
  <c r="E234" i="12" s="1"/>
  <c r="E235" i="12" a="1"/>
  <c r="E235" i="12" s="1"/>
  <c r="E236" i="12" a="1"/>
  <c r="E236" i="12" s="1"/>
  <c r="E237" i="12" a="1"/>
  <c r="E237" i="12" s="1"/>
  <c r="E238" i="12" a="1"/>
  <c r="E238" i="12" s="1"/>
  <c r="E239" i="12" a="1"/>
  <c r="E239" i="12" s="1"/>
  <c r="E240" i="12" a="1"/>
  <c r="E240" i="12" s="1"/>
  <c r="E241" i="12" a="1"/>
  <c r="E241" i="12" s="1"/>
  <c r="E242" i="12" a="1"/>
  <c r="E242" i="12" s="1"/>
  <c r="E243" i="12" a="1"/>
  <c r="E243" i="12" s="1"/>
  <c r="E244" i="12" a="1"/>
  <c r="E244" i="12" s="1"/>
  <c r="E245" i="12" a="1"/>
  <c r="E245" i="12" s="1"/>
  <c r="E246" i="12" a="1"/>
  <c r="E246" i="12" s="1"/>
  <c r="E247" i="12" a="1"/>
  <c r="E247" i="12" s="1"/>
  <c r="E248" i="12" a="1"/>
  <c r="E248" i="12" s="1"/>
  <c r="E249" i="12" a="1"/>
  <c r="E249" i="12" s="1"/>
  <c r="E250" i="12" a="1"/>
  <c r="E250" i="12" s="1"/>
  <c r="E251" i="12" a="1"/>
  <c r="E251" i="12" s="1"/>
  <c r="E252" i="12" a="1"/>
  <c r="E252" i="12" s="1"/>
  <c r="E253" i="12" a="1"/>
  <c r="E253" i="12" s="1"/>
  <c r="E254" i="12" a="1"/>
  <c r="E254" i="12" s="1"/>
  <c r="E255" i="12" a="1"/>
  <c r="E255" i="12" s="1"/>
  <c r="E256" i="12" a="1"/>
  <c r="E256" i="12" s="1"/>
  <c r="E257" i="12" a="1"/>
  <c r="E257" i="12" s="1"/>
  <c r="E258" i="12" a="1"/>
  <c r="E258" i="12" s="1"/>
  <c r="E259" i="12" a="1"/>
  <c r="E259" i="12" s="1"/>
  <c r="E260" i="12" a="1"/>
  <c r="E260" i="12" s="1"/>
  <c r="E261" i="12" a="1"/>
  <c r="E261" i="12" s="1"/>
  <c r="E262" i="12" a="1"/>
  <c r="E262" i="12" s="1"/>
  <c r="E263" i="12" a="1"/>
  <c r="E263" i="12" s="1"/>
  <c r="E264" i="12" a="1"/>
  <c r="E264" i="12" s="1"/>
  <c r="E265" i="12" a="1"/>
  <c r="E265" i="12" s="1"/>
  <c r="E266" i="12" a="1"/>
  <c r="E266" i="12" s="1"/>
  <c r="E267" i="12" a="1"/>
  <c r="E267" i="12" s="1"/>
  <c r="E268" i="12" a="1"/>
  <c r="E268" i="12" s="1"/>
  <c r="E269" i="12" a="1"/>
  <c r="E269" i="12" s="1"/>
  <c r="E270" i="12" a="1"/>
  <c r="E270" i="12" s="1"/>
  <c r="E271" i="12" a="1"/>
  <c r="E271" i="12" s="1"/>
  <c r="E272" i="12" a="1"/>
  <c r="E272" i="12" s="1"/>
  <c r="E273" i="12" a="1"/>
  <c r="E273" i="12" s="1"/>
  <c r="E274" i="12" a="1"/>
  <c r="E274" i="12" s="1"/>
  <c r="E275" i="12" a="1"/>
  <c r="E275" i="12" s="1"/>
  <c r="E276" i="12" a="1"/>
  <c r="E276" i="12" s="1"/>
  <c r="E277" i="12" a="1"/>
  <c r="E277" i="12" s="1"/>
  <c r="E278" i="12" a="1"/>
  <c r="E278" i="12" s="1"/>
  <c r="E279" i="12" a="1"/>
  <c r="E279" i="12" s="1"/>
  <c r="E280" i="12" a="1"/>
  <c r="E280" i="12" s="1"/>
  <c r="E281" i="12" a="1"/>
  <c r="E281" i="12" s="1"/>
  <c r="E282" i="12" a="1"/>
  <c r="E282" i="12" s="1"/>
  <c r="E283" i="12" a="1"/>
  <c r="E283" i="12" s="1"/>
  <c r="E284" i="12" a="1"/>
  <c r="E284" i="12" s="1"/>
  <c r="E285" i="12" a="1"/>
  <c r="E285" i="12" s="1"/>
  <c r="E286" i="12" a="1"/>
  <c r="E286" i="12" s="1"/>
  <c r="E287" i="12" a="1"/>
  <c r="E287" i="12" s="1"/>
  <c r="E288" i="12" a="1"/>
  <c r="E288" i="12" s="1"/>
  <c r="E289" i="12" a="1"/>
  <c r="E289" i="12" s="1"/>
  <c r="E290" i="12" a="1"/>
  <c r="E290" i="12" s="1"/>
  <c r="E291" i="12" a="1"/>
  <c r="E291" i="12" s="1"/>
  <c r="E292" i="12" a="1"/>
  <c r="E292" i="12" s="1"/>
  <c r="E293" i="12" a="1"/>
  <c r="E293" i="12" s="1"/>
  <c r="E294" i="12" a="1"/>
  <c r="E294" i="12" s="1"/>
  <c r="E295" i="12" a="1"/>
  <c r="E295" i="12" s="1"/>
  <c r="E296" i="12" a="1"/>
  <c r="E296" i="12" s="1"/>
  <c r="E297" i="12" a="1"/>
  <c r="E297" i="12" s="1"/>
  <c r="E298" i="12" a="1"/>
  <c r="E298" i="12" s="1"/>
  <c r="E299" i="12" a="1"/>
  <c r="E299" i="12" s="1"/>
  <c r="E300" i="12" a="1"/>
  <c r="E300" i="12" s="1"/>
  <c r="E301" i="12" a="1"/>
  <c r="E301" i="12" s="1"/>
  <c r="E302" i="12" a="1"/>
  <c r="E302" i="12" s="1"/>
  <c r="E303" i="12" a="1"/>
  <c r="E303" i="12" s="1"/>
  <c r="E304" i="12" a="1"/>
  <c r="E304" i="12" s="1"/>
  <c r="E305" i="12" a="1"/>
  <c r="E305" i="12" s="1"/>
  <c r="E306" i="12" a="1"/>
  <c r="E306" i="12" s="1"/>
  <c r="E307" i="12" a="1"/>
  <c r="E307" i="12" s="1"/>
  <c r="E308" i="12" a="1"/>
  <c r="E308" i="12" s="1"/>
  <c r="E309" i="12" a="1"/>
  <c r="E309" i="12" s="1"/>
  <c r="E310" i="12" a="1"/>
  <c r="E310" i="12" s="1"/>
  <c r="E311" i="12" a="1"/>
  <c r="E311" i="12" s="1"/>
  <c r="E312" i="12" a="1"/>
  <c r="E312" i="12" s="1"/>
  <c r="E313" i="12" a="1"/>
  <c r="E313" i="12" s="1"/>
  <c r="E314" i="12" a="1"/>
  <c r="E314" i="12" s="1"/>
  <c r="E315" i="12" a="1"/>
  <c r="E315" i="12" s="1"/>
  <c r="E316" i="12" a="1"/>
  <c r="E316" i="12" s="1"/>
  <c r="E317" i="12" a="1"/>
  <c r="E317" i="12" s="1"/>
  <c r="E318" i="12" a="1"/>
  <c r="E318" i="12" s="1"/>
  <c r="E319" i="12" a="1"/>
  <c r="E319" i="12" s="1"/>
  <c r="E320" i="12" a="1"/>
  <c r="E320" i="12" s="1"/>
  <c r="E321" i="12" a="1"/>
  <c r="E321" i="12" s="1"/>
  <c r="E322" i="12" a="1"/>
  <c r="E322" i="12" s="1"/>
  <c r="E323" i="12" a="1"/>
  <c r="E323" i="12" s="1"/>
  <c r="E324" i="12" a="1"/>
  <c r="E324" i="12" s="1"/>
  <c r="E325" i="12" a="1"/>
  <c r="E325" i="12" s="1"/>
  <c r="E326" i="12" a="1"/>
  <c r="E326" i="12" s="1"/>
  <c r="E327" i="12" a="1"/>
  <c r="E327" i="12" s="1"/>
  <c r="E328" i="12" a="1"/>
  <c r="E328" i="12" s="1"/>
  <c r="E329" i="12" a="1"/>
  <c r="E329" i="12" s="1"/>
  <c r="E330" i="12" a="1"/>
  <c r="E330" i="12" s="1"/>
  <c r="E331" i="12" a="1"/>
  <c r="E331" i="12" s="1"/>
  <c r="E332" i="12" a="1"/>
  <c r="E332" i="12" s="1"/>
  <c r="E333" i="12" a="1"/>
  <c r="E333" i="12" s="1"/>
  <c r="E334" i="12" a="1"/>
  <c r="E334" i="12" s="1"/>
  <c r="E335" i="12" a="1"/>
  <c r="E335" i="12" s="1"/>
  <c r="E336" i="12" a="1"/>
  <c r="E336" i="12" s="1"/>
  <c r="E337" i="12" a="1"/>
  <c r="E337" i="12" s="1"/>
  <c r="E338" i="12" a="1"/>
  <c r="E338" i="12" s="1"/>
  <c r="E339" i="12" a="1"/>
  <c r="E339" i="12" s="1"/>
  <c r="E340" i="12" a="1"/>
  <c r="E340" i="12" s="1"/>
  <c r="E341" i="12" a="1"/>
  <c r="E341" i="12" s="1"/>
  <c r="E342" i="12" a="1"/>
  <c r="E342" i="12" s="1"/>
  <c r="E343" i="12" a="1"/>
  <c r="E343" i="12" s="1"/>
  <c r="E344" i="12" a="1"/>
  <c r="E344" i="12" s="1"/>
  <c r="E345" i="12" a="1"/>
  <c r="E345" i="12" s="1"/>
  <c r="E346" i="12" a="1"/>
  <c r="E346" i="12" s="1"/>
  <c r="E347" i="12" a="1"/>
  <c r="E347" i="12" s="1"/>
  <c r="E348" i="12" a="1"/>
  <c r="E348" i="12" s="1"/>
  <c r="E349" i="12" a="1"/>
  <c r="E349" i="12" s="1"/>
  <c r="E350" i="12" a="1"/>
  <c r="E350" i="12" s="1"/>
  <c r="E351" i="12" a="1"/>
  <c r="E351" i="12" s="1"/>
  <c r="E352" i="12" a="1"/>
  <c r="E352" i="12" s="1"/>
  <c r="E353" i="12" a="1"/>
  <c r="E353" i="12" s="1"/>
  <c r="E354" i="12" a="1"/>
  <c r="E354" i="12" s="1"/>
  <c r="E355" i="12" a="1"/>
  <c r="E355" i="12" s="1"/>
  <c r="E356" i="12" a="1"/>
  <c r="E356" i="12" s="1"/>
  <c r="E357" i="12" a="1"/>
  <c r="E357" i="12" s="1"/>
  <c r="E358" i="12" a="1"/>
  <c r="E358" i="12" s="1"/>
  <c r="E359" i="12" a="1"/>
  <c r="E359" i="12" s="1"/>
  <c r="E360" i="12" a="1"/>
  <c r="E360" i="12" s="1"/>
  <c r="E361" i="12" a="1"/>
  <c r="E361" i="12" s="1"/>
  <c r="E362" i="12" a="1"/>
  <c r="E362" i="12" s="1"/>
  <c r="E363" i="12" a="1"/>
  <c r="E363" i="12" s="1"/>
  <c r="E364" i="12" a="1"/>
  <c r="E364" i="12" s="1"/>
  <c r="E365" i="12" a="1"/>
  <c r="E365" i="12" s="1"/>
  <c r="E366" i="12" a="1"/>
  <c r="E366" i="12" s="1"/>
  <c r="E367" i="12" a="1"/>
  <c r="E367" i="12" s="1"/>
  <c r="E368" i="12" a="1"/>
  <c r="E368" i="12" s="1"/>
  <c r="E369" i="12" a="1"/>
  <c r="E369" i="12" s="1"/>
  <c r="E370" i="12" a="1"/>
  <c r="E370" i="12" s="1"/>
  <c r="E371" i="12" a="1"/>
  <c r="E371" i="12" s="1"/>
  <c r="E372" i="12" a="1"/>
  <c r="E372" i="12" s="1"/>
  <c r="E373" i="12" a="1"/>
  <c r="E373" i="12" s="1"/>
  <c r="E374" i="12" a="1"/>
  <c r="E374" i="12" s="1"/>
  <c r="E375" i="12" a="1"/>
  <c r="E375" i="12" s="1"/>
  <c r="E376" i="12" a="1"/>
  <c r="E376" i="12" s="1"/>
  <c r="E377" i="12" a="1"/>
  <c r="E377" i="12" s="1"/>
  <c r="E378" i="12" a="1"/>
  <c r="E378" i="12" s="1"/>
  <c r="E379" i="12" a="1"/>
  <c r="E379" i="12" s="1"/>
  <c r="E380" i="12" a="1"/>
  <c r="E380" i="12" s="1"/>
  <c r="E381" i="12" a="1"/>
  <c r="E381" i="12" s="1"/>
  <c r="E382" i="12" a="1"/>
  <c r="E382" i="12" s="1"/>
  <c r="E383" i="12" a="1"/>
  <c r="E383" i="12" s="1"/>
  <c r="E384" i="12" a="1"/>
  <c r="E384" i="12" s="1"/>
  <c r="E385" i="12" a="1"/>
  <c r="E385" i="12" s="1"/>
  <c r="E21" i="12" a="1"/>
  <c r="E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1" i="12" a="1"/>
  <c r="D61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D114" i="12" a="1"/>
  <c r="D114" i="12" s="1"/>
  <c r="D115" i="12" a="1"/>
  <c r="D115" i="12" s="1"/>
  <c r="D116" i="12" a="1"/>
  <c r="D116" i="12" s="1"/>
  <c r="D117" i="12" a="1"/>
  <c r="D117" i="12" s="1"/>
  <c r="D118" i="12" a="1"/>
  <c r="D118" i="12" s="1"/>
  <c r="D119" i="12" a="1"/>
  <c r="D119" i="12" s="1"/>
  <c r="D120" i="12" a="1"/>
  <c r="D120" i="12" s="1"/>
  <c r="D121" i="12" a="1"/>
  <c r="D121" i="12" s="1"/>
  <c r="D122" i="12" a="1"/>
  <c r="D122" i="12" s="1"/>
  <c r="D123" i="12" a="1"/>
  <c r="D123" i="12" s="1"/>
  <c r="D124" i="12" a="1"/>
  <c r="D124" i="12" s="1"/>
  <c r="D125" i="12" a="1"/>
  <c r="D125" i="12" s="1"/>
  <c r="D126" i="12" a="1"/>
  <c r="D126" i="12" s="1"/>
  <c r="D127" i="12" a="1"/>
  <c r="D127" i="12" s="1"/>
  <c r="D128" i="12" a="1"/>
  <c r="D128" i="12" s="1"/>
  <c r="D129" i="12" a="1"/>
  <c r="D129" i="12" s="1"/>
  <c r="D130" i="12" a="1"/>
  <c r="D130" i="12" s="1"/>
  <c r="D131" i="12" a="1"/>
  <c r="D131" i="12" s="1"/>
  <c r="D132" i="12" a="1"/>
  <c r="D132" i="12" s="1"/>
  <c r="D133" i="12" a="1"/>
  <c r="D133" i="12" s="1"/>
  <c r="D134" i="12" a="1"/>
  <c r="D134" i="12" s="1"/>
  <c r="D135" i="12" a="1"/>
  <c r="D135" i="12" s="1"/>
  <c r="D136" i="12" a="1"/>
  <c r="D136" i="12" s="1"/>
  <c r="D137" i="12" a="1"/>
  <c r="D137" i="12" s="1"/>
  <c r="D138" i="12" a="1"/>
  <c r="D138" i="12" s="1"/>
  <c r="D139" i="12" a="1"/>
  <c r="D139" i="12" s="1"/>
  <c r="D140" i="12" a="1"/>
  <c r="D140" i="12" s="1"/>
  <c r="D141" i="12" a="1"/>
  <c r="D141" i="12" s="1"/>
  <c r="D142" i="12" a="1"/>
  <c r="D142" i="12" s="1"/>
  <c r="D143" i="12" a="1"/>
  <c r="D143" i="12" s="1"/>
  <c r="D144" i="12" a="1"/>
  <c r="D144" i="12" s="1"/>
  <c r="D145" i="12" a="1"/>
  <c r="D145" i="12" s="1"/>
  <c r="D146" i="12" a="1"/>
  <c r="D146" i="12" s="1"/>
  <c r="D147" i="12" a="1"/>
  <c r="D147" i="12" s="1"/>
  <c r="D148" i="12" a="1"/>
  <c r="D148" i="12" s="1"/>
  <c r="D149" i="12" a="1"/>
  <c r="D149" i="12" s="1"/>
  <c r="D150" i="12" a="1"/>
  <c r="D150" i="12" s="1"/>
  <c r="D151" i="12" a="1"/>
  <c r="D151" i="12" s="1"/>
  <c r="D152" i="12" a="1"/>
  <c r="D152" i="12" s="1"/>
  <c r="D153" i="12" a="1"/>
  <c r="D153" i="12" s="1"/>
  <c r="D154" i="12" a="1"/>
  <c r="D154" i="12" s="1"/>
  <c r="D155" i="12" a="1"/>
  <c r="D155" i="12" s="1"/>
  <c r="D156" i="12" a="1"/>
  <c r="D156" i="12" s="1"/>
  <c r="D157" i="12" a="1"/>
  <c r="D157" i="12" s="1"/>
  <c r="D158" i="12" a="1"/>
  <c r="D158" i="12" s="1"/>
  <c r="D159" i="12" a="1"/>
  <c r="D159" i="12" s="1"/>
  <c r="D160" i="12" a="1"/>
  <c r="D160" i="12" s="1"/>
  <c r="D161" i="12" a="1"/>
  <c r="D161" i="12" s="1"/>
  <c r="D162" i="12" a="1"/>
  <c r="D162" i="12" s="1"/>
  <c r="D163" i="12" a="1"/>
  <c r="D163" i="12" s="1"/>
  <c r="D164" i="12" a="1"/>
  <c r="D164" i="12" s="1"/>
  <c r="D165" i="12" a="1"/>
  <c r="D165" i="12" s="1"/>
  <c r="D166" i="12" a="1"/>
  <c r="D166" i="12" s="1"/>
  <c r="D167" i="12" a="1"/>
  <c r="D167" i="12" s="1"/>
  <c r="D168" i="12" a="1"/>
  <c r="D168" i="12" s="1"/>
  <c r="D169" i="12" a="1"/>
  <c r="D169" i="12" s="1"/>
  <c r="D170" i="12" a="1"/>
  <c r="D170" i="12" s="1"/>
  <c r="D171" i="12" a="1"/>
  <c r="D171" i="12" s="1"/>
  <c r="D172" i="12" a="1"/>
  <c r="D172" i="12" s="1"/>
  <c r="D173" i="12" a="1"/>
  <c r="D173" i="12" s="1"/>
  <c r="D174" i="12" a="1"/>
  <c r="D174" i="12" s="1"/>
  <c r="D175" i="12" a="1"/>
  <c r="D175" i="12" s="1"/>
  <c r="D176" i="12" a="1"/>
  <c r="D176" i="12" s="1"/>
  <c r="D177" i="12" a="1"/>
  <c r="D177" i="12" s="1"/>
  <c r="D178" i="12" a="1"/>
  <c r="D178" i="12" s="1"/>
  <c r="D179" i="12" a="1"/>
  <c r="D179" i="12" s="1"/>
  <c r="D180" i="12" a="1"/>
  <c r="D180" i="12" s="1"/>
  <c r="D181" i="12" a="1"/>
  <c r="D181" i="12" s="1"/>
  <c r="D182" i="12" a="1"/>
  <c r="D182" i="12" s="1"/>
  <c r="D183" i="12" a="1"/>
  <c r="D183" i="12" s="1"/>
  <c r="D184" i="12" a="1"/>
  <c r="D184" i="12" s="1"/>
  <c r="D185" i="12" a="1"/>
  <c r="D185" i="12" s="1"/>
  <c r="D186" i="12" a="1"/>
  <c r="D186" i="12" s="1"/>
  <c r="D187" i="12" a="1"/>
  <c r="D187" i="12" s="1"/>
  <c r="D188" i="12" a="1"/>
  <c r="D188" i="12" s="1"/>
  <c r="D189" i="12" a="1"/>
  <c r="D189" i="12" s="1"/>
  <c r="D190" i="12" a="1"/>
  <c r="D190" i="12" s="1"/>
  <c r="D191" i="12" a="1"/>
  <c r="D191" i="12" s="1"/>
  <c r="D192" i="12" a="1"/>
  <c r="D192" i="12" s="1"/>
  <c r="D193" i="12" a="1"/>
  <c r="D193" i="12" s="1"/>
  <c r="D194" i="12" a="1"/>
  <c r="D194" i="12" s="1"/>
  <c r="D195" i="12" a="1"/>
  <c r="D195" i="12" s="1"/>
  <c r="D196" i="12" a="1"/>
  <c r="D196" i="12" s="1"/>
  <c r="D197" i="12" a="1"/>
  <c r="D197" i="12" s="1"/>
  <c r="D198" i="12" a="1"/>
  <c r="D198" i="12" s="1"/>
  <c r="D199" i="12" a="1"/>
  <c r="D199" i="12" s="1"/>
  <c r="D200" i="12" a="1"/>
  <c r="D200" i="12" s="1"/>
  <c r="D201" i="12" a="1"/>
  <c r="D201" i="12" s="1"/>
  <c r="D202" i="12" a="1"/>
  <c r="D202" i="12" s="1"/>
  <c r="D203" i="12" a="1"/>
  <c r="D203" i="12" s="1"/>
  <c r="D204" i="12" a="1"/>
  <c r="D204" i="12" s="1"/>
  <c r="D205" i="12" a="1"/>
  <c r="D205" i="12" s="1"/>
  <c r="D206" i="12" a="1"/>
  <c r="D206" i="12" s="1"/>
  <c r="D207" i="12" a="1"/>
  <c r="D207" i="12" s="1"/>
  <c r="D208" i="12" a="1"/>
  <c r="D208" i="12" s="1"/>
  <c r="D209" i="12" a="1"/>
  <c r="D209" i="12" s="1"/>
  <c r="D210" i="12" a="1"/>
  <c r="D210" i="12" s="1"/>
  <c r="D211" i="12" a="1"/>
  <c r="D211" i="12" s="1"/>
  <c r="D212" i="12" a="1"/>
  <c r="D212" i="12" s="1"/>
  <c r="D213" i="12" a="1"/>
  <c r="D213" i="12" s="1"/>
  <c r="D214" i="12" a="1"/>
  <c r="D214" i="12" s="1"/>
  <c r="D215" i="12" a="1"/>
  <c r="D215" i="12" s="1"/>
  <c r="D216" i="12" a="1"/>
  <c r="D216" i="12" s="1"/>
  <c r="D217" i="12" a="1"/>
  <c r="D217" i="12" s="1"/>
  <c r="D218" i="12" a="1"/>
  <c r="D218" i="12" s="1"/>
  <c r="D219" i="12" a="1"/>
  <c r="D219" i="12" s="1"/>
  <c r="D220" i="12" a="1"/>
  <c r="D220" i="12" s="1"/>
  <c r="D221" i="12" a="1"/>
  <c r="D221" i="12" s="1"/>
  <c r="D222" i="12" a="1"/>
  <c r="D222" i="12" s="1"/>
  <c r="D223" i="12" a="1"/>
  <c r="D223" i="12" s="1"/>
  <c r="D224" i="12" a="1"/>
  <c r="D224" i="12" s="1"/>
  <c r="D225" i="12" a="1"/>
  <c r="D225" i="12" s="1"/>
  <c r="D226" i="12" a="1"/>
  <c r="D226" i="12" s="1"/>
  <c r="D227" i="12" a="1"/>
  <c r="D227" i="12" s="1"/>
  <c r="D228" i="12" a="1"/>
  <c r="D228" i="12" s="1"/>
  <c r="D229" i="12" a="1"/>
  <c r="D229" i="12" s="1"/>
  <c r="D230" i="12" a="1"/>
  <c r="D230" i="12" s="1"/>
  <c r="D231" i="12" a="1"/>
  <c r="D231" i="12" s="1"/>
  <c r="D232" i="12" a="1"/>
  <c r="D232" i="12" s="1"/>
  <c r="D233" i="12" a="1"/>
  <c r="D233" i="12" s="1"/>
  <c r="D234" i="12" a="1"/>
  <c r="D234" i="12" s="1"/>
  <c r="D235" i="12" a="1"/>
  <c r="D235" i="12" s="1"/>
  <c r="D236" i="12" a="1"/>
  <c r="D236" i="12" s="1"/>
  <c r="D237" i="12" a="1"/>
  <c r="D237" i="12" s="1"/>
  <c r="D238" i="12" a="1"/>
  <c r="D238" i="12" s="1"/>
  <c r="D239" i="12" a="1"/>
  <c r="D239" i="12" s="1"/>
  <c r="D240" i="12" a="1"/>
  <c r="D240" i="12" s="1"/>
  <c r="D241" i="12" a="1"/>
  <c r="D241" i="12" s="1"/>
  <c r="D242" i="12" a="1"/>
  <c r="D242" i="12" s="1"/>
  <c r="D243" i="12" a="1"/>
  <c r="D243" i="12" s="1"/>
  <c r="D244" i="12" a="1"/>
  <c r="D244" i="12" s="1"/>
  <c r="D245" i="12" a="1"/>
  <c r="D245" i="12" s="1"/>
  <c r="D246" i="12" a="1"/>
  <c r="D246" i="12" s="1"/>
  <c r="D247" i="12" a="1"/>
  <c r="D247" i="12" s="1"/>
  <c r="D248" i="12" a="1"/>
  <c r="D248" i="12" s="1"/>
  <c r="D249" i="12" a="1"/>
  <c r="D249" i="12" s="1"/>
  <c r="D250" i="12" a="1"/>
  <c r="D250" i="12" s="1"/>
  <c r="D251" i="12" a="1"/>
  <c r="D251" i="12" s="1"/>
  <c r="D252" i="12" a="1"/>
  <c r="D252" i="12" s="1"/>
  <c r="D253" i="12" a="1"/>
  <c r="D253" i="12" s="1"/>
  <c r="D254" i="12" a="1"/>
  <c r="D254" i="12" s="1"/>
  <c r="D255" i="12" a="1"/>
  <c r="D255" i="12" s="1"/>
  <c r="D256" i="12" a="1"/>
  <c r="D256" i="12" s="1"/>
  <c r="D257" i="12" a="1"/>
  <c r="D257" i="12" s="1"/>
  <c r="D258" i="12" a="1"/>
  <c r="D258" i="12" s="1"/>
  <c r="D259" i="12" a="1"/>
  <c r="D259" i="12" s="1"/>
  <c r="D260" i="12" a="1"/>
  <c r="D260" i="12" s="1"/>
  <c r="D261" i="12" a="1"/>
  <c r="D261" i="12" s="1"/>
  <c r="D262" i="12" a="1"/>
  <c r="D262" i="12" s="1"/>
  <c r="D263" i="12" a="1"/>
  <c r="D263" i="12" s="1"/>
  <c r="D264" i="12" a="1"/>
  <c r="D264" i="12" s="1"/>
  <c r="D265" i="12" a="1"/>
  <c r="D265" i="12" s="1"/>
  <c r="D266" i="12" a="1"/>
  <c r="D266" i="12" s="1"/>
  <c r="D267" i="12" a="1"/>
  <c r="D267" i="12" s="1"/>
  <c r="D268" i="12" a="1"/>
  <c r="D268" i="12" s="1"/>
  <c r="D269" i="12" a="1"/>
  <c r="D269" i="12" s="1"/>
  <c r="D270" i="12" a="1"/>
  <c r="D270" i="12" s="1"/>
  <c r="D271" i="12" a="1"/>
  <c r="D271" i="12" s="1"/>
  <c r="D272" i="12" a="1"/>
  <c r="D272" i="12" s="1"/>
  <c r="D273" i="12" a="1"/>
  <c r="D273" i="12" s="1"/>
  <c r="D274" i="12" a="1"/>
  <c r="D274" i="12" s="1"/>
  <c r="D275" i="12" a="1"/>
  <c r="D275" i="12" s="1"/>
  <c r="D276" i="12" a="1"/>
  <c r="D276" i="12" s="1"/>
  <c r="D277" i="12" a="1"/>
  <c r="D277" i="12" s="1"/>
  <c r="D278" i="12" a="1"/>
  <c r="D278" i="12" s="1"/>
  <c r="D279" i="12" a="1"/>
  <c r="D279" i="12" s="1"/>
  <c r="D280" i="12" a="1"/>
  <c r="D280" i="12" s="1"/>
  <c r="D281" i="12" a="1"/>
  <c r="D281" i="12" s="1"/>
  <c r="D282" i="12" a="1"/>
  <c r="D282" i="12" s="1"/>
  <c r="D283" i="12" a="1"/>
  <c r="D283" i="12" s="1"/>
  <c r="D284" i="12" a="1"/>
  <c r="D284" i="12" s="1"/>
  <c r="D285" i="12" a="1"/>
  <c r="D285" i="12" s="1"/>
  <c r="D286" i="12" a="1"/>
  <c r="D286" i="12" s="1"/>
  <c r="D287" i="12" a="1"/>
  <c r="D287" i="12" s="1"/>
  <c r="D288" i="12" a="1"/>
  <c r="D288" i="12" s="1"/>
  <c r="D289" i="12" a="1"/>
  <c r="D289" i="12" s="1"/>
  <c r="D290" i="12" a="1"/>
  <c r="D290" i="12" s="1"/>
  <c r="D291" i="12" a="1"/>
  <c r="D291" i="12" s="1"/>
  <c r="D292" i="12" a="1"/>
  <c r="D292" i="12" s="1"/>
  <c r="D293" i="12" a="1"/>
  <c r="D293" i="12" s="1"/>
  <c r="D294" i="12" a="1"/>
  <c r="D294" i="12" s="1"/>
  <c r="D295" i="12" a="1"/>
  <c r="D295" i="12" s="1"/>
  <c r="D296" i="12" a="1"/>
  <c r="D296" i="12" s="1"/>
  <c r="D297" i="12" a="1"/>
  <c r="D297" i="12" s="1"/>
  <c r="D298" i="12" a="1"/>
  <c r="D298" i="12" s="1"/>
  <c r="D299" i="12" a="1"/>
  <c r="D299" i="12" s="1"/>
  <c r="D300" i="12" a="1"/>
  <c r="D300" i="12" s="1"/>
  <c r="D301" i="12" a="1"/>
  <c r="D301" i="12" s="1"/>
  <c r="D302" i="12" a="1"/>
  <c r="D302" i="12" s="1"/>
  <c r="D303" i="12" a="1"/>
  <c r="D303" i="12" s="1"/>
  <c r="D304" i="12" a="1"/>
  <c r="D304" i="12" s="1"/>
  <c r="D305" i="12" a="1"/>
  <c r="D305" i="12" s="1"/>
  <c r="D306" i="12" a="1"/>
  <c r="D306" i="12" s="1"/>
  <c r="D307" i="12" a="1"/>
  <c r="D307" i="12" s="1"/>
  <c r="D308" i="12" a="1"/>
  <c r="D308" i="12" s="1"/>
  <c r="D309" i="12" a="1"/>
  <c r="D309" i="12" s="1"/>
  <c r="D310" i="12" a="1"/>
  <c r="D310" i="12" s="1"/>
  <c r="D311" i="12" a="1"/>
  <c r="D311" i="12" s="1"/>
  <c r="D312" i="12" a="1"/>
  <c r="D312" i="12" s="1"/>
  <c r="D313" i="12" a="1"/>
  <c r="D313" i="12" s="1"/>
  <c r="D314" i="12" a="1"/>
  <c r="D314" i="12" s="1"/>
  <c r="D315" i="12" a="1"/>
  <c r="D315" i="12" s="1"/>
  <c r="D316" i="12" a="1"/>
  <c r="D316" i="12" s="1"/>
  <c r="D317" i="12" a="1"/>
  <c r="D317" i="12" s="1"/>
  <c r="D318" i="12" a="1"/>
  <c r="D318" i="12" s="1"/>
  <c r="D319" i="12" a="1"/>
  <c r="D319" i="12" s="1"/>
  <c r="D320" i="12" a="1"/>
  <c r="D320" i="12" s="1"/>
  <c r="D321" i="12" a="1"/>
  <c r="D321" i="12" s="1"/>
  <c r="D322" i="12" a="1"/>
  <c r="D322" i="12" s="1"/>
  <c r="D323" i="12" a="1"/>
  <c r="D323" i="12" s="1"/>
  <c r="D324" i="12" a="1"/>
  <c r="D324" i="12" s="1"/>
  <c r="D325" i="12" a="1"/>
  <c r="D325" i="12" s="1"/>
  <c r="D326" i="12" a="1"/>
  <c r="D326" i="12" s="1"/>
  <c r="D327" i="12" a="1"/>
  <c r="D327" i="12" s="1"/>
  <c r="D328" i="12" a="1"/>
  <c r="D328" i="12" s="1"/>
  <c r="D329" i="12" a="1"/>
  <c r="D329" i="12" s="1"/>
  <c r="D330" i="12" a="1"/>
  <c r="D330" i="12" s="1"/>
  <c r="D331" i="12" a="1"/>
  <c r="D331" i="12" s="1"/>
  <c r="D332" i="12" a="1"/>
  <c r="D332" i="12" s="1"/>
  <c r="D333" i="12" a="1"/>
  <c r="D333" i="12" s="1"/>
  <c r="D334" i="12" a="1"/>
  <c r="D334" i="12" s="1"/>
  <c r="D335" i="12" a="1"/>
  <c r="D335" i="12" s="1"/>
  <c r="D336" i="12" a="1"/>
  <c r="D336" i="12" s="1"/>
  <c r="D337" i="12" a="1"/>
  <c r="D337" i="12" s="1"/>
  <c r="D338" i="12" a="1"/>
  <c r="D338" i="12" s="1"/>
  <c r="D339" i="12" a="1"/>
  <c r="D339" i="12" s="1"/>
  <c r="D340" i="12" a="1"/>
  <c r="D340" i="12" s="1"/>
  <c r="D341" i="12" a="1"/>
  <c r="D341" i="12" s="1"/>
  <c r="D342" i="12" a="1"/>
  <c r="D342" i="12" s="1"/>
  <c r="D343" i="12" a="1"/>
  <c r="D343" i="12" s="1"/>
  <c r="D344" i="12" a="1"/>
  <c r="D344" i="12" s="1"/>
  <c r="D345" i="12" a="1"/>
  <c r="D345" i="12" s="1"/>
  <c r="D346" i="12" a="1"/>
  <c r="D346" i="12" s="1"/>
  <c r="D347" i="12" a="1"/>
  <c r="D347" i="12" s="1"/>
  <c r="D348" i="12" a="1"/>
  <c r="D348" i="12" s="1"/>
  <c r="D349" i="12" a="1"/>
  <c r="D349" i="12" s="1"/>
  <c r="D350" i="12" a="1"/>
  <c r="D350" i="12" s="1"/>
  <c r="D351" i="12" a="1"/>
  <c r="D351" i="12" s="1"/>
  <c r="D352" i="12" a="1"/>
  <c r="D352" i="12" s="1"/>
  <c r="D353" i="12" a="1"/>
  <c r="D353" i="12" s="1"/>
  <c r="D354" i="12" a="1"/>
  <c r="D354" i="12" s="1"/>
  <c r="D355" i="12" a="1"/>
  <c r="D355" i="12" s="1"/>
  <c r="D356" i="12" a="1"/>
  <c r="D356" i="12" s="1"/>
  <c r="D357" i="12" a="1"/>
  <c r="D357" i="12" s="1"/>
  <c r="D358" i="12" a="1"/>
  <c r="D358" i="12" s="1"/>
  <c r="D359" i="12" a="1"/>
  <c r="D359" i="12" s="1"/>
  <c r="D360" i="12" a="1"/>
  <c r="D360" i="12" s="1"/>
  <c r="D361" i="12" a="1"/>
  <c r="D361" i="12" s="1"/>
  <c r="D362" i="12" a="1"/>
  <c r="D362" i="12" s="1"/>
  <c r="D363" i="12" a="1"/>
  <c r="D363" i="12" s="1"/>
  <c r="D364" i="12" a="1"/>
  <c r="D364" i="12" s="1"/>
  <c r="D365" i="12" a="1"/>
  <c r="D365" i="12" s="1"/>
  <c r="D366" i="12" a="1"/>
  <c r="D366" i="12" s="1"/>
  <c r="D367" i="12" a="1"/>
  <c r="D367" i="12" s="1"/>
  <c r="D368" i="12" a="1"/>
  <c r="D368" i="12" s="1"/>
  <c r="D369" i="12" a="1"/>
  <c r="D369" i="12" s="1"/>
  <c r="D370" i="12" a="1"/>
  <c r="D370" i="12" s="1"/>
  <c r="D371" i="12" a="1"/>
  <c r="D371" i="12" s="1"/>
  <c r="D372" i="12" a="1"/>
  <c r="D372" i="12" s="1"/>
  <c r="D373" i="12" a="1"/>
  <c r="D373" i="12" s="1"/>
  <c r="D374" i="12" a="1"/>
  <c r="D374" i="12" s="1"/>
  <c r="D375" i="12" a="1"/>
  <c r="D375" i="12" s="1"/>
  <c r="D376" i="12" a="1"/>
  <c r="D376" i="12" s="1"/>
  <c r="D377" i="12" a="1"/>
  <c r="D377" i="12" s="1"/>
  <c r="D378" i="12" a="1"/>
  <c r="D378" i="12" s="1"/>
  <c r="D379" i="12" a="1"/>
  <c r="D379" i="12" s="1"/>
  <c r="D380" i="12" a="1"/>
  <c r="D380" i="12" s="1"/>
  <c r="D381" i="12" a="1"/>
  <c r="D381" i="12" s="1"/>
  <c r="D382" i="12" a="1"/>
  <c r="D382" i="12" s="1"/>
  <c r="D383" i="12" a="1"/>
  <c r="D383" i="12" s="1"/>
  <c r="D384" i="12" a="1"/>
  <c r="D384" i="12" s="1"/>
  <c r="D385" i="12" a="1"/>
  <c r="D385" i="12" s="1"/>
  <c r="D21" i="12" a="1"/>
  <c r="D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1" i="12" a="1"/>
  <c r="C61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114" i="12" a="1"/>
  <c r="C114" i="12" s="1"/>
  <c r="C115" i="12" a="1"/>
  <c r="C115" i="12" s="1"/>
  <c r="C116" i="12" a="1"/>
  <c r="C116" i="12" s="1"/>
  <c r="C117" i="12" a="1"/>
  <c r="C117" i="12" s="1"/>
  <c r="C118" i="12" a="1"/>
  <c r="C118" i="12" s="1"/>
  <c r="C119" i="12" a="1"/>
  <c r="C119" i="12" s="1"/>
  <c r="C120" i="12" a="1"/>
  <c r="C120" i="12" s="1"/>
  <c r="C121" i="12" a="1"/>
  <c r="C121" i="12" s="1"/>
  <c r="C122" i="12" a="1"/>
  <c r="C122" i="12" s="1"/>
  <c r="C123" i="12" a="1"/>
  <c r="C123" i="12" s="1"/>
  <c r="C124" i="12" a="1"/>
  <c r="C124" i="12" s="1"/>
  <c r="C125" i="12" a="1"/>
  <c r="C125" i="12" s="1"/>
  <c r="C126" i="12" a="1"/>
  <c r="C126" i="12" s="1"/>
  <c r="C127" i="12" a="1"/>
  <c r="C127" i="12" s="1"/>
  <c r="C128" i="12" a="1"/>
  <c r="C128" i="12" s="1"/>
  <c r="C129" i="12" a="1"/>
  <c r="C129" i="12" s="1"/>
  <c r="C130" i="12" a="1"/>
  <c r="C130" i="12" s="1"/>
  <c r="C131" i="12" a="1"/>
  <c r="C131" i="12" s="1"/>
  <c r="C132" i="12" a="1"/>
  <c r="C132" i="12" s="1"/>
  <c r="C133" i="12" a="1"/>
  <c r="C133" i="12" s="1"/>
  <c r="C134" i="12" a="1"/>
  <c r="C134" i="12" s="1"/>
  <c r="C135" i="12" a="1"/>
  <c r="C135" i="12" s="1"/>
  <c r="C136" i="12" a="1"/>
  <c r="C136" i="12" s="1"/>
  <c r="C137" i="12" a="1"/>
  <c r="C137" i="12" s="1"/>
  <c r="C138" i="12" a="1"/>
  <c r="C138" i="12" s="1"/>
  <c r="C139" i="12" a="1"/>
  <c r="C139" i="12" s="1"/>
  <c r="C140" i="12" a="1"/>
  <c r="C140" i="12" s="1"/>
  <c r="C141" i="12" a="1"/>
  <c r="C141" i="12" s="1"/>
  <c r="C142" i="12" a="1"/>
  <c r="C142" i="12" s="1"/>
  <c r="C143" i="12" a="1"/>
  <c r="C143" i="12" s="1"/>
  <c r="C144" i="12" a="1"/>
  <c r="C144" i="12" s="1"/>
  <c r="C145" i="12" a="1"/>
  <c r="C145" i="12" s="1"/>
  <c r="C146" i="12" a="1"/>
  <c r="C146" i="12" s="1"/>
  <c r="C147" i="12" a="1"/>
  <c r="C147" i="12" s="1"/>
  <c r="C148" i="12" a="1"/>
  <c r="C148" i="12" s="1"/>
  <c r="C149" i="12" a="1"/>
  <c r="C149" i="12" s="1"/>
  <c r="C150" i="12" a="1"/>
  <c r="C150" i="12" s="1"/>
  <c r="C151" i="12" a="1"/>
  <c r="C151" i="12" s="1"/>
  <c r="C152" i="12" a="1"/>
  <c r="C152" i="12" s="1"/>
  <c r="C153" i="12" a="1"/>
  <c r="C153" i="12" s="1"/>
  <c r="C154" i="12" a="1"/>
  <c r="C154" i="12" s="1"/>
  <c r="C155" i="12" a="1"/>
  <c r="C155" i="12" s="1"/>
  <c r="C156" i="12" a="1"/>
  <c r="C156" i="12" s="1"/>
  <c r="C157" i="12" a="1"/>
  <c r="C157" i="12" s="1"/>
  <c r="C158" i="12" a="1"/>
  <c r="C158" i="12" s="1"/>
  <c r="C159" i="12" a="1"/>
  <c r="C159" i="12" s="1"/>
  <c r="C160" i="12" a="1"/>
  <c r="C160" i="12" s="1"/>
  <c r="C161" i="12" a="1"/>
  <c r="C161" i="12" s="1"/>
  <c r="C162" i="12" a="1"/>
  <c r="C162" i="12" s="1"/>
  <c r="C163" i="12" a="1"/>
  <c r="C163" i="12" s="1"/>
  <c r="C164" i="12" a="1"/>
  <c r="C164" i="12" s="1"/>
  <c r="C165" i="12" a="1"/>
  <c r="C165" i="12" s="1"/>
  <c r="C166" i="12" a="1"/>
  <c r="C166" i="12" s="1"/>
  <c r="C167" i="12" a="1"/>
  <c r="C167" i="12" s="1"/>
  <c r="C168" i="12" a="1"/>
  <c r="C168" i="12" s="1"/>
  <c r="C169" i="12" a="1"/>
  <c r="C169" i="12" s="1"/>
  <c r="C170" i="12" a="1"/>
  <c r="C170" i="12" s="1"/>
  <c r="C171" i="12" a="1"/>
  <c r="C171" i="12" s="1"/>
  <c r="C172" i="12" a="1"/>
  <c r="C172" i="12" s="1"/>
  <c r="C173" i="12" a="1"/>
  <c r="C173" i="12" s="1"/>
  <c r="C174" i="12" a="1"/>
  <c r="C174" i="12" s="1"/>
  <c r="C175" i="12" a="1"/>
  <c r="C175" i="12" s="1"/>
  <c r="C176" i="12" a="1"/>
  <c r="C176" i="12" s="1"/>
  <c r="C177" i="12" a="1"/>
  <c r="C177" i="12" s="1"/>
  <c r="C178" i="12" a="1"/>
  <c r="C178" i="12" s="1"/>
  <c r="C179" i="12" a="1"/>
  <c r="C179" i="12" s="1"/>
  <c r="C180" i="12" a="1"/>
  <c r="C180" i="12" s="1"/>
  <c r="C181" i="12" a="1"/>
  <c r="C181" i="12" s="1"/>
  <c r="C182" i="12" a="1"/>
  <c r="C182" i="12" s="1"/>
  <c r="C183" i="12" a="1"/>
  <c r="C183" i="12" s="1"/>
  <c r="C184" i="12" a="1"/>
  <c r="C184" i="12" s="1"/>
  <c r="C185" i="12" a="1"/>
  <c r="C185" i="12" s="1"/>
  <c r="C186" i="12" a="1"/>
  <c r="C186" i="12" s="1"/>
  <c r="C187" i="12" a="1"/>
  <c r="C187" i="12" s="1"/>
  <c r="C188" i="12" a="1"/>
  <c r="C188" i="12" s="1"/>
  <c r="C189" i="12" a="1"/>
  <c r="C189" i="12" s="1"/>
  <c r="C190" i="12" a="1"/>
  <c r="C190" i="12" s="1"/>
  <c r="C191" i="12" a="1"/>
  <c r="C191" i="12" s="1"/>
  <c r="C192" i="12" a="1"/>
  <c r="C192" i="12" s="1"/>
  <c r="C193" i="12" a="1"/>
  <c r="C193" i="12" s="1"/>
  <c r="C194" i="12" a="1"/>
  <c r="C194" i="12" s="1"/>
  <c r="C195" i="12" a="1"/>
  <c r="C195" i="12" s="1"/>
  <c r="C196" i="12" a="1"/>
  <c r="C196" i="12" s="1"/>
  <c r="C197" i="12" a="1"/>
  <c r="C197" i="12" s="1"/>
  <c r="C198" i="12" a="1"/>
  <c r="C198" i="12" s="1"/>
  <c r="C199" i="12" a="1"/>
  <c r="C199" i="12" s="1"/>
  <c r="C200" i="12" a="1"/>
  <c r="C200" i="12" s="1"/>
  <c r="C201" i="12" a="1"/>
  <c r="C201" i="12" s="1"/>
  <c r="C202" i="12" a="1"/>
  <c r="C202" i="12" s="1"/>
  <c r="C203" i="12" a="1"/>
  <c r="C203" i="12" s="1"/>
  <c r="C204" i="12" a="1"/>
  <c r="C204" i="12" s="1"/>
  <c r="C205" i="12" a="1"/>
  <c r="C205" i="12" s="1"/>
  <c r="C206" i="12" a="1"/>
  <c r="C206" i="12" s="1"/>
  <c r="C207" i="12" a="1"/>
  <c r="C207" i="12" s="1"/>
  <c r="C208" i="12" a="1"/>
  <c r="C208" i="12" s="1"/>
  <c r="C209" i="12" a="1"/>
  <c r="C209" i="12" s="1"/>
  <c r="C210" i="12" a="1"/>
  <c r="C210" i="12" s="1"/>
  <c r="C211" i="12" a="1"/>
  <c r="C211" i="12" s="1"/>
  <c r="C212" i="12" a="1"/>
  <c r="C212" i="12" s="1"/>
  <c r="C213" i="12" a="1"/>
  <c r="C213" i="12" s="1"/>
  <c r="C214" i="12" a="1"/>
  <c r="C214" i="12" s="1"/>
  <c r="C215" i="12" a="1"/>
  <c r="C215" i="12" s="1"/>
  <c r="C216" i="12" a="1"/>
  <c r="C216" i="12" s="1"/>
  <c r="C217" i="12" a="1"/>
  <c r="C217" i="12" s="1"/>
  <c r="C218" i="12" a="1"/>
  <c r="C218" i="12" s="1"/>
  <c r="C219" i="12" a="1"/>
  <c r="C219" i="12" s="1"/>
  <c r="C220" i="12" a="1"/>
  <c r="C220" i="12" s="1"/>
  <c r="C221" i="12" a="1"/>
  <c r="C221" i="12" s="1"/>
  <c r="C222" i="12" a="1"/>
  <c r="C222" i="12" s="1"/>
  <c r="C223" i="12" a="1"/>
  <c r="C223" i="12" s="1"/>
  <c r="C224" i="12" a="1"/>
  <c r="C224" i="12" s="1"/>
  <c r="C225" i="12" a="1"/>
  <c r="C225" i="12" s="1"/>
  <c r="C226" i="12" a="1"/>
  <c r="C226" i="12" s="1"/>
  <c r="C227" i="12" a="1"/>
  <c r="C227" i="12" s="1"/>
  <c r="C228" i="12" a="1"/>
  <c r="C228" i="12" s="1"/>
  <c r="C229" i="12" a="1"/>
  <c r="C229" i="12" s="1"/>
  <c r="C230" i="12" a="1"/>
  <c r="C230" i="12" s="1"/>
  <c r="C231" i="12" a="1"/>
  <c r="C231" i="12" s="1"/>
  <c r="C232" i="12" a="1"/>
  <c r="C232" i="12" s="1"/>
  <c r="C233" i="12" a="1"/>
  <c r="C233" i="12" s="1"/>
  <c r="C234" i="12" a="1"/>
  <c r="C234" i="12" s="1"/>
  <c r="C235" i="12" a="1"/>
  <c r="C235" i="12" s="1"/>
  <c r="C236" i="12" a="1"/>
  <c r="C236" i="12" s="1"/>
  <c r="C237" i="12" a="1"/>
  <c r="C237" i="12" s="1"/>
  <c r="C238" i="12" a="1"/>
  <c r="C238" i="12" s="1"/>
  <c r="C239" i="12" a="1"/>
  <c r="C239" i="12" s="1"/>
  <c r="C240" i="12" a="1"/>
  <c r="C240" i="12" s="1"/>
  <c r="C241" i="12" a="1"/>
  <c r="C241" i="12" s="1"/>
  <c r="C242" i="12" a="1"/>
  <c r="C242" i="12" s="1"/>
  <c r="C243" i="12" a="1"/>
  <c r="C243" i="12" s="1"/>
  <c r="C244" i="12" a="1"/>
  <c r="C244" i="12" s="1"/>
  <c r="C245" i="12" a="1"/>
  <c r="C245" i="12" s="1"/>
  <c r="C246" i="12" a="1"/>
  <c r="C246" i="12" s="1"/>
  <c r="C247" i="12" a="1"/>
  <c r="C247" i="12" s="1"/>
  <c r="C248" i="12" a="1"/>
  <c r="C248" i="12" s="1"/>
  <c r="C249" i="12" a="1"/>
  <c r="C249" i="12" s="1"/>
  <c r="C250" i="12" a="1"/>
  <c r="C250" i="12" s="1"/>
  <c r="C251" i="12" a="1"/>
  <c r="C251" i="12" s="1"/>
  <c r="C252" i="12" a="1"/>
  <c r="C252" i="12" s="1"/>
  <c r="C253" i="12" a="1"/>
  <c r="C253" i="12" s="1"/>
  <c r="C254" i="12" a="1"/>
  <c r="C254" i="12" s="1"/>
  <c r="C255" i="12" a="1"/>
  <c r="C255" i="12" s="1"/>
  <c r="C256" i="12" a="1"/>
  <c r="C256" i="12" s="1"/>
  <c r="C257" i="12" a="1"/>
  <c r="C257" i="12" s="1"/>
  <c r="C258" i="12" a="1"/>
  <c r="C258" i="12" s="1"/>
  <c r="C259" i="12" a="1"/>
  <c r="C259" i="12" s="1"/>
  <c r="C260" i="12" a="1"/>
  <c r="C260" i="12" s="1"/>
  <c r="C261" i="12" a="1"/>
  <c r="C261" i="12" s="1"/>
  <c r="C262" i="12" a="1"/>
  <c r="C262" i="12" s="1"/>
  <c r="C263" i="12" a="1"/>
  <c r="C263" i="12" s="1"/>
  <c r="C264" i="12" a="1"/>
  <c r="C264" i="12" s="1"/>
  <c r="C265" i="12" a="1"/>
  <c r="C265" i="12" s="1"/>
  <c r="C266" i="12" a="1"/>
  <c r="C266" i="12" s="1"/>
  <c r="C267" i="12" a="1"/>
  <c r="C267" i="12" s="1"/>
  <c r="C268" i="12" a="1"/>
  <c r="C268" i="12" s="1"/>
  <c r="C269" i="12" a="1"/>
  <c r="C269" i="12" s="1"/>
  <c r="C270" i="12" a="1"/>
  <c r="C270" i="12" s="1"/>
  <c r="C271" i="12" a="1"/>
  <c r="C271" i="12" s="1"/>
  <c r="C272" i="12" a="1"/>
  <c r="C272" i="12" s="1"/>
  <c r="C273" i="12" a="1"/>
  <c r="C273" i="12" s="1"/>
  <c r="C274" i="12" a="1"/>
  <c r="C274" i="12" s="1"/>
  <c r="C275" i="12" a="1"/>
  <c r="C275" i="12" s="1"/>
  <c r="C276" i="12" a="1"/>
  <c r="C276" i="12" s="1"/>
  <c r="C277" i="12" a="1"/>
  <c r="C277" i="12" s="1"/>
  <c r="C278" i="12" a="1"/>
  <c r="C278" i="12" s="1"/>
  <c r="C279" i="12" a="1"/>
  <c r="C279" i="12" s="1"/>
  <c r="C280" i="12" a="1"/>
  <c r="C280" i="12" s="1"/>
  <c r="C281" i="12" a="1"/>
  <c r="C281" i="12" s="1"/>
  <c r="C282" i="12" a="1"/>
  <c r="C282" i="12" s="1"/>
  <c r="C283" i="12" a="1"/>
  <c r="C283" i="12" s="1"/>
  <c r="C284" i="12" a="1"/>
  <c r="C284" i="12" s="1"/>
  <c r="C285" i="12" a="1"/>
  <c r="C285" i="12" s="1"/>
  <c r="C286" i="12" a="1"/>
  <c r="C286" i="12" s="1"/>
  <c r="C287" i="12" a="1"/>
  <c r="C287" i="12" s="1"/>
  <c r="C288" i="12" a="1"/>
  <c r="C288" i="12" s="1"/>
  <c r="C289" i="12" a="1"/>
  <c r="C289" i="12" s="1"/>
  <c r="C290" i="12" a="1"/>
  <c r="C290" i="12" s="1"/>
  <c r="C291" i="12" a="1"/>
  <c r="C291" i="12" s="1"/>
  <c r="C292" i="12" a="1"/>
  <c r="C292" i="12" s="1"/>
  <c r="C293" i="12" a="1"/>
  <c r="C293" i="12" s="1"/>
  <c r="C294" i="12" a="1"/>
  <c r="C294" i="12" s="1"/>
  <c r="C295" i="12" a="1"/>
  <c r="C295" i="12" s="1"/>
  <c r="C296" i="12" a="1"/>
  <c r="C296" i="12" s="1"/>
  <c r="C297" i="12" a="1"/>
  <c r="C297" i="12" s="1"/>
  <c r="C298" i="12" a="1"/>
  <c r="C298" i="12" s="1"/>
  <c r="C299" i="12" a="1"/>
  <c r="C299" i="12" s="1"/>
  <c r="C300" i="12" a="1"/>
  <c r="C300" i="12" s="1"/>
  <c r="C301" i="12" a="1"/>
  <c r="C301" i="12" s="1"/>
  <c r="C302" i="12" a="1"/>
  <c r="C302" i="12" s="1"/>
  <c r="C303" i="12" a="1"/>
  <c r="C303" i="12" s="1"/>
  <c r="C304" i="12" a="1"/>
  <c r="C304" i="12" s="1"/>
  <c r="C305" i="12" a="1"/>
  <c r="C305" i="12" s="1"/>
  <c r="C306" i="12" a="1"/>
  <c r="C306" i="12" s="1"/>
  <c r="C307" i="12" a="1"/>
  <c r="C307" i="12" s="1"/>
  <c r="C308" i="12" a="1"/>
  <c r="C308" i="12" s="1"/>
  <c r="C309" i="12" a="1"/>
  <c r="C309" i="12" s="1"/>
  <c r="C310" i="12" a="1"/>
  <c r="C310" i="12" s="1"/>
  <c r="C311" i="12" a="1"/>
  <c r="C311" i="12" s="1"/>
  <c r="C312" i="12" a="1"/>
  <c r="C312" i="12" s="1"/>
  <c r="C313" i="12" a="1"/>
  <c r="C313" i="12" s="1"/>
  <c r="C314" i="12" a="1"/>
  <c r="C314" i="12" s="1"/>
  <c r="C315" i="12" a="1"/>
  <c r="C315" i="12" s="1"/>
  <c r="C316" i="12" a="1"/>
  <c r="C316" i="12" s="1"/>
  <c r="C317" i="12" a="1"/>
  <c r="C317" i="12" s="1"/>
  <c r="C318" i="12" a="1"/>
  <c r="C318" i="12" s="1"/>
  <c r="C319" i="12" a="1"/>
  <c r="C319" i="12" s="1"/>
  <c r="C320" i="12" a="1"/>
  <c r="C320" i="12" s="1"/>
  <c r="C321" i="12" a="1"/>
  <c r="C321" i="12" s="1"/>
  <c r="C322" i="12" a="1"/>
  <c r="C322" i="12" s="1"/>
  <c r="C323" i="12" a="1"/>
  <c r="C323" i="12" s="1"/>
  <c r="C324" i="12" a="1"/>
  <c r="C324" i="12" s="1"/>
  <c r="C325" i="12" a="1"/>
  <c r="C325" i="12" s="1"/>
  <c r="C326" i="12" a="1"/>
  <c r="C326" i="12" s="1"/>
  <c r="C327" i="12" a="1"/>
  <c r="C327" i="12" s="1"/>
  <c r="C328" i="12" a="1"/>
  <c r="C328" i="12" s="1"/>
  <c r="C329" i="12" a="1"/>
  <c r="C329" i="12" s="1"/>
  <c r="C330" i="12" a="1"/>
  <c r="C330" i="12" s="1"/>
  <c r="C331" i="12" a="1"/>
  <c r="C331" i="12" s="1"/>
  <c r="C332" i="12" a="1"/>
  <c r="C332" i="12" s="1"/>
  <c r="C333" i="12" a="1"/>
  <c r="C333" i="12" s="1"/>
  <c r="C334" i="12" a="1"/>
  <c r="C334" i="12" s="1"/>
  <c r="C335" i="12" a="1"/>
  <c r="C335" i="12" s="1"/>
  <c r="C336" i="12" a="1"/>
  <c r="C336" i="12" s="1"/>
  <c r="C337" i="12" a="1"/>
  <c r="C337" i="12" s="1"/>
  <c r="C338" i="12" a="1"/>
  <c r="C338" i="12" s="1"/>
  <c r="C339" i="12" a="1"/>
  <c r="C339" i="12" s="1"/>
  <c r="C340" i="12" a="1"/>
  <c r="C340" i="12" s="1"/>
  <c r="C341" i="12" a="1"/>
  <c r="C341" i="12" s="1"/>
  <c r="C342" i="12" a="1"/>
  <c r="C342" i="12" s="1"/>
  <c r="C343" i="12" a="1"/>
  <c r="C343" i="12" s="1"/>
  <c r="C344" i="12" a="1"/>
  <c r="C344" i="12" s="1"/>
  <c r="C345" i="12" a="1"/>
  <c r="C345" i="12" s="1"/>
  <c r="C346" i="12" a="1"/>
  <c r="C346" i="12" s="1"/>
  <c r="C347" i="12" a="1"/>
  <c r="C347" i="12" s="1"/>
  <c r="C348" i="12" a="1"/>
  <c r="C348" i="12" s="1"/>
  <c r="C349" i="12" a="1"/>
  <c r="C349" i="12" s="1"/>
  <c r="C350" i="12" a="1"/>
  <c r="C350" i="12" s="1"/>
  <c r="C351" i="12" a="1"/>
  <c r="C351" i="12" s="1"/>
  <c r="C352" i="12" a="1"/>
  <c r="C352" i="12" s="1"/>
  <c r="C353" i="12" a="1"/>
  <c r="C353" i="12" s="1"/>
  <c r="C354" i="12" a="1"/>
  <c r="C354" i="12" s="1"/>
  <c r="C355" i="12" a="1"/>
  <c r="C355" i="12" s="1"/>
  <c r="C356" i="12" a="1"/>
  <c r="C356" i="12" s="1"/>
  <c r="C357" i="12" a="1"/>
  <c r="C357" i="12" s="1"/>
  <c r="C358" i="12" a="1"/>
  <c r="C358" i="12" s="1"/>
  <c r="C359" i="12" a="1"/>
  <c r="C359" i="12" s="1"/>
  <c r="C360" i="12" a="1"/>
  <c r="C360" i="12" s="1"/>
  <c r="C361" i="12" a="1"/>
  <c r="C361" i="12" s="1"/>
  <c r="C362" i="12" a="1"/>
  <c r="C362" i="12" s="1"/>
  <c r="C363" i="12" a="1"/>
  <c r="C363" i="12" s="1"/>
  <c r="C364" i="12" a="1"/>
  <c r="C364" i="12" s="1"/>
  <c r="C365" i="12" a="1"/>
  <c r="C365" i="12" s="1"/>
  <c r="C366" i="12" a="1"/>
  <c r="C366" i="12" s="1"/>
  <c r="C367" i="12" a="1"/>
  <c r="C367" i="12" s="1"/>
  <c r="C368" i="12" a="1"/>
  <c r="C368" i="12" s="1"/>
  <c r="C369" i="12" a="1"/>
  <c r="C369" i="12" s="1"/>
  <c r="C370" i="12" a="1"/>
  <c r="C370" i="12" s="1"/>
  <c r="C371" i="12" a="1"/>
  <c r="C371" i="12" s="1"/>
  <c r="C372" i="12" a="1"/>
  <c r="C372" i="12" s="1"/>
  <c r="C373" i="12" a="1"/>
  <c r="C373" i="12" s="1"/>
  <c r="C374" i="12" a="1"/>
  <c r="C374" i="12" s="1"/>
  <c r="C375" i="12" a="1"/>
  <c r="C375" i="12" s="1"/>
  <c r="C376" i="12" a="1"/>
  <c r="C376" i="12" s="1"/>
  <c r="C377" i="12" a="1"/>
  <c r="C377" i="12" s="1"/>
  <c r="C378" i="12" a="1"/>
  <c r="C378" i="12" s="1"/>
  <c r="C379" i="12" a="1"/>
  <c r="C379" i="12" s="1"/>
  <c r="C380" i="12" a="1"/>
  <c r="C380" i="12" s="1"/>
  <c r="C381" i="12" a="1"/>
  <c r="C381" i="12" s="1"/>
  <c r="C382" i="12" a="1"/>
  <c r="C382" i="12" s="1"/>
  <c r="C383" i="12" a="1"/>
  <c r="C383" i="12" s="1"/>
  <c r="C384" i="12" a="1"/>
  <c r="C384" i="12" s="1"/>
  <c r="C385" i="12" a="1"/>
  <c r="C385" i="12" s="1"/>
  <c r="C21" i="12" a="1"/>
  <c r="C21" i="12" s="1"/>
  <c r="H10" i="12"/>
  <c r="H6" i="12"/>
  <c r="H7" i="12" s="1"/>
  <c r="K260" i="9"/>
  <c r="I260" i="9"/>
  <c r="G260" i="9"/>
  <c r="F260" i="9"/>
  <c r="E260" i="9"/>
  <c r="D260" i="9"/>
  <c r="C260" i="9"/>
  <c r="B260" i="9"/>
  <c r="K259" i="9"/>
  <c r="I259" i="9"/>
  <c r="G259" i="9"/>
  <c r="F259" i="9"/>
  <c r="E259" i="9"/>
  <c r="D259" i="9"/>
  <c r="C259" i="9"/>
  <c r="B259" i="9"/>
  <c r="K258" i="9"/>
  <c r="I258" i="9"/>
  <c r="G258" i="9"/>
  <c r="F258" i="9"/>
  <c r="E258" i="9"/>
  <c r="D258" i="9"/>
  <c r="C258" i="9"/>
  <c r="B258" i="9"/>
  <c r="K257" i="9"/>
  <c r="I257" i="9"/>
  <c r="G257" i="9"/>
  <c r="F257" i="9"/>
  <c r="E257" i="9"/>
  <c r="D257" i="9"/>
  <c r="C257" i="9"/>
  <c r="B257" i="9"/>
  <c r="K256" i="9"/>
  <c r="I256" i="9"/>
  <c r="G256" i="9"/>
  <c r="F256" i="9"/>
  <c r="E256" i="9"/>
  <c r="D256" i="9"/>
  <c r="C256" i="9"/>
  <c r="B256" i="9"/>
  <c r="K255" i="9"/>
  <c r="I255" i="9"/>
  <c r="G255" i="9"/>
  <c r="F255" i="9"/>
  <c r="E255" i="9"/>
  <c r="D255" i="9"/>
  <c r="C255" i="9"/>
  <c r="B255" i="9"/>
  <c r="K254" i="9"/>
  <c r="I254" i="9"/>
  <c r="G254" i="9"/>
  <c r="F254" i="9"/>
  <c r="E254" i="9"/>
  <c r="D254" i="9"/>
  <c r="C254" i="9"/>
  <c r="B254" i="9"/>
  <c r="K253" i="9"/>
  <c r="I253" i="9"/>
  <c r="G253" i="9"/>
  <c r="F253" i="9"/>
  <c r="E253" i="9"/>
  <c r="D253" i="9"/>
  <c r="C253" i="9"/>
  <c r="B253" i="9"/>
  <c r="K252" i="9"/>
  <c r="I252" i="9"/>
  <c r="G252" i="9"/>
  <c r="F252" i="9"/>
  <c r="E252" i="9"/>
  <c r="D252" i="9"/>
  <c r="C252" i="9"/>
  <c r="B252" i="9"/>
  <c r="K251" i="9"/>
  <c r="I251" i="9"/>
  <c r="G251" i="9"/>
  <c r="F251" i="9"/>
  <c r="E251" i="9"/>
  <c r="D251" i="9"/>
  <c r="C251" i="9"/>
  <c r="B251" i="9"/>
  <c r="K250" i="9"/>
  <c r="I250" i="9"/>
  <c r="G250" i="9"/>
  <c r="F250" i="9"/>
  <c r="E250" i="9"/>
  <c r="D250" i="9"/>
  <c r="C250" i="9"/>
  <c r="B250" i="9"/>
  <c r="K249" i="9"/>
  <c r="I249" i="9"/>
  <c r="G249" i="9"/>
  <c r="F249" i="9"/>
  <c r="E249" i="9"/>
  <c r="D249" i="9"/>
  <c r="C249" i="9"/>
  <c r="B249" i="9"/>
  <c r="K248" i="9"/>
  <c r="I248" i="9"/>
  <c r="G248" i="9"/>
  <c r="F248" i="9"/>
  <c r="E248" i="9"/>
  <c r="D248" i="9"/>
  <c r="C248" i="9"/>
  <c r="B248" i="9"/>
  <c r="K247" i="9"/>
  <c r="I247" i="9"/>
  <c r="G247" i="9"/>
  <c r="F247" i="9"/>
  <c r="E247" i="9"/>
  <c r="D247" i="9"/>
  <c r="C247" i="9"/>
  <c r="B247" i="9"/>
  <c r="K246" i="9"/>
  <c r="I246" i="9"/>
  <c r="G246" i="9"/>
  <c r="F246" i="9"/>
  <c r="E246" i="9"/>
  <c r="D246" i="9"/>
  <c r="C246" i="9"/>
  <c r="B246" i="9"/>
  <c r="K245" i="9"/>
  <c r="I245" i="9"/>
  <c r="G245" i="9"/>
  <c r="F245" i="9"/>
  <c r="E245" i="9"/>
  <c r="D245" i="9"/>
  <c r="C245" i="9"/>
  <c r="B245" i="9"/>
  <c r="K244" i="9"/>
  <c r="I244" i="9"/>
  <c r="G244" i="9"/>
  <c r="F244" i="9"/>
  <c r="E244" i="9"/>
  <c r="D244" i="9"/>
  <c r="C244" i="9"/>
  <c r="B244" i="9"/>
  <c r="K243" i="9"/>
  <c r="I243" i="9"/>
  <c r="G243" i="9"/>
  <c r="F243" i="9"/>
  <c r="E243" i="9"/>
  <c r="D243" i="9"/>
  <c r="C243" i="9"/>
  <c r="B243" i="9"/>
  <c r="K242" i="9"/>
  <c r="I242" i="9"/>
  <c r="G242" i="9"/>
  <c r="F242" i="9"/>
  <c r="E242" i="9"/>
  <c r="D242" i="9"/>
  <c r="C242" i="9"/>
  <c r="B242" i="9"/>
  <c r="K241" i="9"/>
  <c r="I241" i="9"/>
  <c r="G241" i="9"/>
  <c r="F241" i="9"/>
  <c r="E241" i="9"/>
  <c r="D241" i="9"/>
  <c r="C241" i="9"/>
  <c r="B241" i="9"/>
  <c r="K240" i="9"/>
  <c r="I240" i="9"/>
  <c r="G240" i="9"/>
  <c r="F240" i="9"/>
  <c r="E240" i="9"/>
  <c r="D240" i="9"/>
  <c r="C240" i="9"/>
  <c r="B240" i="9"/>
  <c r="K239" i="9"/>
  <c r="I239" i="9"/>
  <c r="G239" i="9"/>
  <c r="F239" i="9"/>
  <c r="E239" i="9"/>
  <c r="D239" i="9"/>
  <c r="C239" i="9"/>
  <c r="B239" i="9"/>
  <c r="K238" i="9"/>
  <c r="I238" i="9"/>
  <c r="G238" i="9"/>
  <c r="F238" i="9"/>
  <c r="E238" i="9"/>
  <c r="D238" i="9"/>
  <c r="C238" i="9"/>
  <c r="B238" i="9"/>
  <c r="K237" i="9"/>
  <c r="I237" i="9"/>
  <c r="G237" i="9"/>
  <c r="F237" i="9"/>
  <c r="E237" i="9"/>
  <c r="D237" i="9"/>
  <c r="C237" i="9"/>
  <c r="B237" i="9"/>
  <c r="K236" i="9"/>
  <c r="I236" i="9"/>
  <c r="G236" i="9"/>
  <c r="F236" i="9"/>
  <c r="E236" i="9"/>
  <c r="D236" i="9"/>
  <c r="C236" i="9"/>
  <c r="B236" i="9"/>
  <c r="K235" i="9"/>
  <c r="I235" i="9"/>
  <c r="G235" i="9"/>
  <c r="F235" i="9"/>
  <c r="E235" i="9"/>
  <c r="D235" i="9"/>
  <c r="C235" i="9"/>
  <c r="B235" i="9"/>
  <c r="K234" i="9"/>
  <c r="I234" i="9"/>
  <c r="G234" i="9"/>
  <c r="F234" i="9"/>
  <c r="E234" i="9"/>
  <c r="D234" i="9"/>
  <c r="C234" i="9"/>
  <c r="B234" i="9"/>
  <c r="K233" i="9"/>
  <c r="I233" i="9"/>
  <c r="G233" i="9"/>
  <c r="F233" i="9"/>
  <c r="E233" i="9"/>
  <c r="D233" i="9"/>
  <c r="C233" i="9"/>
  <c r="B233" i="9"/>
  <c r="K232" i="9"/>
  <c r="I232" i="9"/>
  <c r="G232" i="9"/>
  <c r="F232" i="9"/>
  <c r="E232" i="9"/>
  <c r="D232" i="9"/>
  <c r="C232" i="9"/>
  <c r="B232" i="9"/>
  <c r="K231" i="9"/>
  <c r="I231" i="9"/>
  <c r="G231" i="9"/>
  <c r="F231" i="9"/>
  <c r="E231" i="9"/>
  <c r="D231" i="9"/>
  <c r="C231" i="9"/>
  <c r="B231" i="9"/>
  <c r="K230" i="9"/>
  <c r="I230" i="9"/>
  <c r="G230" i="9"/>
  <c r="F230" i="9"/>
  <c r="E230" i="9"/>
  <c r="D230" i="9"/>
  <c r="C230" i="9"/>
  <c r="B230" i="9"/>
  <c r="K229" i="9"/>
  <c r="I229" i="9"/>
  <c r="G229" i="9"/>
  <c r="F229" i="9"/>
  <c r="E229" i="9"/>
  <c r="D229" i="9"/>
  <c r="C229" i="9"/>
  <c r="B229" i="9"/>
  <c r="K228" i="9"/>
  <c r="I228" i="9"/>
  <c r="G228" i="9"/>
  <c r="F228" i="9"/>
  <c r="E228" i="9"/>
  <c r="D228" i="9"/>
  <c r="C228" i="9"/>
  <c r="B228" i="9"/>
  <c r="K227" i="9"/>
  <c r="I227" i="9"/>
  <c r="G227" i="9"/>
  <c r="F227" i="9"/>
  <c r="E227" i="9"/>
  <c r="D227" i="9"/>
  <c r="C227" i="9"/>
  <c r="B227" i="9"/>
  <c r="K226" i="9"/>
  <c r="I226" i="9"/>
  <c r="G226" i="9"/>
  <c r="F226" i="9"/>
  <c r="E226" i="9"/>
  <c r="D226" i="9"/>
  <c r="C226" i="9"/>
  <c r="B226" i="9"/>
  <c r="K225" i="9"/>
  <c r="I225" i="9"/>
  <c r="G225" i="9"/>
  <c r="F225" i="9"/>
  <c r="E225" i="9"/>
  <c r="D225" i="9"/>
  <c r="C225" i="9"/>
  <c r="B225" i="9"/>
  <c r="K224" i="9"/>
  <c r="I224" i="9"/>
  <c r="G224" i="9"/>
  <c r="F224" i="9"/>
  <c r="E224" i="9"/>
  <c r="D224" i="9"/>
  <c r="C224" i="9"/>
  <c r="B224" i="9"/>
  <c r="K223" i="9"/>
  <c r="I223" i="9"/>
  <c r="G223" i="9"/>
  <c r="F223" i="9"/>
  <c r="E223" i="9"/>
  <c r="D223" i="9"/>
  <c r="C223" i="9"/>
  <c r="B223" i="9"/>
  <c r="K222" i="9"/>
  <c r="I222" i="9"/>
  <c r="G222" i="9"/>
  <c r="F222" i="9"/>
  <c r="E222" i="9"/>
  <c r="D222" i="9"/>
  <c r="C222" i="9"/>
  <c r="B222" i="9"/>
  <c r="K221" i="9"/>
  <c r="I221" i="9"/>
  <c r="G221" i="9"/>
  <c r="F221" i="9"/>
  <c r="E221" i="9"/>
  <c r="D221" i="9"/>
  <c r="C221" i="9"/>
  <c r="B221" i="9"/>
  <c r="K220" i="9"/>
  <c r="I220" i="9"/>
  <c r="G220" i="9"/>
  <c r="F220" i="9"/>
  <c r="E220" i="9"/>
  <c r="D220" i="9"/>
  <c r="C220" i="9"/>
  <c r="B220" i="9"/>
  <c r="K219" i="9"/>
  <c r="I219" i="9"/>
  <c r="G219" i="9"/>
  <c r="F219" i="9"/>
  <c r="E219" i="9"/>
  <c r="D219" i="9"/>
  <c r="C219" i="9"/>
  <c r="B219" i="9"/>
  <c r="K218" i="9"/>
  <c r="I218" i="9"/>
  <c r="G218" i="9"/>
  <c r="F218" i="9"/>
  <c r="E218" i="9"/>
  <c r="D218" i="9"/>
  <c r="C218" i="9"/>
  <c r="B218" i="9"/>
  <c r="K217" i="9"/>
  <c r="I217" i="9"/>
  <c r="G217" i="9"/>
  <c r="F217" i="9"/>
  <c r="E217" i="9"/>
  <c r="D217" i="9"/>
  <c r="C217" i="9"/>
  <c r="B217" i="9"/>
  <c r="K216" i="9"/>
  <c r="I216" i="9"/>
  <c r="G216" i="9"/>
  <c r="F216" i="9"/>
  <c r="E216" i="9"/>
  <c r="D216" i="9"/>
  <c r="C216" i="9"/>
  <c r="B216" i="9"/>
  <c r="K215" i="9"/>
  <c r="I215" i="9"/>
  <c r="G215" i="9"/>
  <c r="F215" i="9"/>
  <c r="E215" i="9"/>
  <c r="D215" i="9"/>
  <c r="C215" i="9"/>
  <c r="B215" i="9"/>
  <c r="K214" i="9"/>
  <c r="I214" i="9"/>
  <c r="G214" i="9"/>
  <c r="F214" i="9"/>
  <c r="E214" i="9"/>
  <c r="D214" i="9"/>
  <c r="C214" i="9"/>
  <c r="B214" i="9"/>
  <c r="K213" i="9"/>
  <c r="I213" i="9"/>
  <c r="G213" i="9"/>
  <c r="F213" i="9"/>
  <c r="E213" i="9"/>
  <c r="D213" i="9"/>
  <c r="C213" i="9"/>
  <c r="B213" i="9"/>
  <c r="K212" i="9"/>
  <c r="I212" i="9"/>
  <c r="G212" i="9"/>
  <c r="F212" i="9"/>
  <c r="E212" i="9"/>
  <c r="D212" i="9"/>
  <c r="C212" i="9"/>
  <c r="B212" i="9"/>
  <c r="K211" i="9"/>
  <c r="I211" i="9"/>
  <c r="G211" i="9"/>
  <c r="F211" i="9"/>
  <c r="E211" i="9"/>
  <c r="D211" i="9"/>
  <c r="C211" i="9"/>
  <c r="B211" i="9"/>
  <c r="K210" i="9"/>
  <c r="I210" i="9"/>
  <c r="G210" i="9"/>
  <c r="F210" i="9"/>
  <c r="E210" i="9"/>
  <c r="D210" i="9"/>
  <c r="C210" i="9"/>
  <c r="B210" i="9"/>
  <c r="K209" i="9"/>
  <c r="I209" i="9"/>
  <c r="G209" i="9"/>
  <c r="F209" i="9"/>
  <c r="E209" i="9"/>
  <c r="D209" i="9"/>
  <c r="C209" i="9"/>
  <c r="B209" i="9"/>
  <c r="K208" i="9"/>
  <c r="I208" i="9"/>
  <c r="G208" i="9"/>
  <c r="F208" i="9"/>
  <c r="E208" i="9"/>
  <c r="D208" i="9"/>
  <c r="C208" i="9"/>
  <c r="B208" i="9"/>
  <c r="K207" i="9"/>
  <c r="I207" i="9"/>
  <c r="G207" i="9"/>
  <c r="F207" i="9"/>
  <c r="E207" i="9"/>
  <c r="D207" i="9"/>
  <c r="C207" i="9"/>
  <c r="B207" i="9"/>
  <c r="K206" i="9"/>
  <c r="I206" i="9"/>
  <c r="G206" i="9"/>
  <c r="F206" i="9"/>
  <c r="E206" i="9"/>
  <c r="D206" i="9"/>
  <c r="C206" i="9"/>
  <c r="B206" i="9"/>
  <c r="K205" i="9"/>
  <c r="I205" i="9"/>
  <c r="G205" i="9"/>
  <c r="F205" i="9"/>
  <c r="E205" i="9"/>
  <c r="D205" i="9"/>
  <c r="C205" i="9"/>
  <c r="B205" i="9"/>
  <c r="K204" i="9"/>
  <c r="I204" i="9"/>
  <c r="G204" i="9"/>
  <c r="F204" i="9"/>
  <c r="E204" i="9"/>
  <c r="D204" i="9"/>
  <c r="C204" i="9"/>
  <c r="B204" i="9"/>
  <c r="K203" i="9"/>
  <c r="I203" i="9"/>
  <c r="G203" i="9"/>
  <c r="F203" i="9"/>
  <c r="E203" i="9"/>
  <c r="D203" i="9"/>
  <c r="C203" i="9"/>
  <c r="B203" i="9"/>
  <c r="K202" i="9"/>
  <c r="I202" i="9"/>
  <c r="G202" i="9"/>
  <c r="F202" i="9"/>
  <c r="E202" i="9"/>
  <c r="D202" i="9"/>
  <c r="C202" i="9"/>
  <c r="B202" i="9"/>
  <c r="K201" i="9"/>
  <c r="I201" i="9"/>
  <c r="G201" i="9"/>
  <c r="F201" i="9"/>
  <c r="E201" i="9"/>
  <c r="D201" i="9"/>
  <c r="C201" i="9"/>
  <c r="B201" i="9"/>
  <c r="K200" i="9"/>
  <c r="I200" i="9"/>
  <c r="G200" i="9"/>
  <c r="F200" i="9"/>
  <c r="E200" i="9"/>
  <c r="D200" i="9"/>
  <c r="C200" i="9"/>
  <c r="B200" i="9"/>
  <c r="K199" i="9"/>
  <c r="I199" i="9"/>
  <c r="G199" i="9"/>
  <c r="F199" i="9"/>
  <c r="E199" i="9"/>
  <c r="D199" i="9"/>
  <c r="C199" i="9"/>
  <c r="B199" i="9"/>
  <c r="K198" i="9"/>
  <c r="I198" i="9"/>
  <c r="G198" i="9"/>
  <c r="F198" i="9"/>
  <c r="E198" i="9"/>
  <c r="D198" i="9"/>
  <c r="C198" i="9"/>
  <c r="B198" i="9"/>
  <c r="K197" i="9"/>
  <c r="I197" i="9"/>
  <c r="G197" i="9"/>
  <c r="F197" i="9"/>
  <c r="E197" i="9"/>
  <c r="D197" i="9"/>
  <c r="C197" i="9"/>
  <c r="B197" i="9"/>
  <c r="K196" i="9"/>
  <c r="I196" i="9"/>
  <c r="G196" i="9"/>
  <c r="F196" i="9"/>
  <c r="E196" i="9"/>
  <c r="D196" i="9"/>
  <c r="C196" i="9"/>
  <c r="B196" i="9"/>
  <c r="K195" i="9"/>
  <c r="I195" i="9"/>
  <c r="G195" i="9"/>
  <c r="F195" i="9"/>
  <c r="E195" i="9"/>
  <c r="D195" i="9"/>
  <c r="C195" i="9"/>
  <c r="B195" i="9"/>
  <c r="K194" i="9"/>
  <c r="I194" i="9"/>
  <c r="G194" i="9"/>
  <c r="F194" i="9"/>
  <c r="E194" i="9"/>
  <c r="D194" i="9"/>
  <c r="C194" i="9"/>
  <c r="B194" i="9"/>
  <c r="K193" i="9"/>
  <c r="I193" i="9"/>
  <c r="G193" i="9"/>
  <c r="F193" i="9"/>
  <c r="E193" i="9"/>
  <c r="D193" i="9"/>
  <c r="C193" i="9"/>
  <c r="B193" i="9"/>
  <c r="K192" i="9"/>
  <c r="I192" i="9"/>
  <c r="G192" i="9"/>
  <c r="F192" i="9"/>
  <c r="E192" i="9"/>
  <c r="D192" i="9"/>
  <c r="C192" i="9"/>
  <c r="B192" i="9"/>
  <c r="K191" i="9"/>
  <c r="I191" i="9"/>
  <c r="G191" i="9"/>
  <c r="F191" i="9"/>
  <c r="E191" i="9"/>
  <c r="D191" i="9"/>
  <c r="C191" i="9"/>
  <c r="B191" i="9"/>
  <c r="K190" i="9"/>
  <c r="I190" i="9"/>
  <c r="G190" i="9"/>
  <c r="F190" i="9"/>
  <c r="E190" i="9"/>
  <c r="D190" i="9"/>
  <c r="C190" i="9"/>
  <c r="B190" i="9"/>
  <c r="K189" i="9"/>
  <c r="I189" i="9"/>
  <c r="G189" i="9"/>
  <c r="F189" i="9"/>
  <c r="E189" i="9"/>
  <c r="D189" i="9"/>
  <c r="C189" i="9"/>
  <c r="B189" i="9"/>
  <c r="K188" i="9"/>
  <c r="I188" i="9"/>
  <c r="G188" i="9"/>
  <c r="F188" i="9"/>
  <c r="E188" i="9"/>
  <c r="D188" i="9"/>
  <c r="C188" i="9"/>
  <c r="B188" i="9"/>
  <c r="K187" i="9"/>
  <c r="I187" i="9"/>
  <c r="G187" i="9"/>
  <c r="F187" i="9"/>
  <c r="E187" i="9"/>
  <c r="D187" i="9"/>
  <c r="C187" i="9"/>
  <c r="B187" i="9"/>
  <c r="K186" i="9"/>
  <c r="I186" i="9"/>
  <c r="G186" i="9"/>
  <c r="F186" i="9"/>
  <c r="E186" i="9"/>
  <c r="D186" i="9"/>
  <c r="C186" i="9"/>
  <c r="B186" i="9"/>
  <c r="K185" i="9"/>
  <c r="I185" i="9"/>
  <c r="G185" i="9"/>
  <c r="F185" i="9"/>
  <c r="E185" i="9"/>
  <c r="D185" i="9"/>
  <c r="C185" i="9"/>
  <c r="B185" i="9"/>
  <c r="K184" i="9"/>
  <c r="I184" i="9"/>
  <c r="G184" i="9"/>
  <c r="F184" i="9"/>
  <c r="E184" i="9"/>
  <c r="D184" i="9"/>
  <c r="C184" i="9"/>
  <c r="B184" i="9"/>
  <c r="K183" i="9"/>
  <c r="I183" i="9"/>
  <c r="G183" i="9"/>
  <c r="F183" i="9"/>
  <c r="E183" i="9"/>
  <c r="D183" i="9"/>
  <c r="C183" i="9"/>
  <c r="B183" i="9"/>
  <c r="K182" i="9"/>
  <c r="I182" i="9"/>
  <c r="G182" i="9"/>
  <c r="F182" i="9"/>
  <c r="E182" i="9"/>
  <c r="D182" i="9"/>
  <c r="C182" i="9"/>
  <c r="B182" i="9"/>
  <c r="K181" i="9"/>
  <c r="I181" i="9"/>
  <c r="G181" i="9"/>
  <c r="F181" i="9"/>
  <c r="E181" i="9"/>
  <c r="D181" i="9"/>
  <c r="C181" i="9"/>
  <c r="B181" i="9"/>
  <c r="K180" i="9"/>
  <c r="I180" i="9"/>
  <c r="G180" i="9"/>
  <c r="F180" i="9"/>
  <c r="E180" i="9"/>
  <c r="D180" i="9"/>
  <c r="C180" i="9"/>
  <c r="B180" i="9"/>
  <c r="K179" i="9"/>
  <c r="I179" i="9"/>
  <c r="G179" i="9"/>
  <c r="F179" i="9"/>
  <c r="E179" i="9"/>
  <c r="D179" i="9"/>
  <c r="C179" i="9"/>
  <c r="B179" i="9"/>
  <c r="K178" i="9"/>
  <c r="I178" i="9"/>
  <c r="G178" i="9"/>
  <c r="F178" i="9"/>
  <c r="E178" i="9"/>
  <c r="D178" i="9"/>
  <c r="C178" i="9"/>
  <c r="B178" i="9"/>
  <c r="K177" i="9"/>
  <c r="I177" i="9"/>
  <c r="G177" i="9"/>
  <c r="F177" i="9"/>
  <c r="E177" i="9"/>
  <c r="D177" i="9"/>
  <c r="C177" i="9"/>
  <c r="B177" i="9"/>
  <c r="K176" i="9"/>
  <c r="I176" i="9"/>
  <c r="G176" i="9"/>
  <c r="F176" i="9"/>
  <c r="E176" i="9"/>
  <c r="D176" i="9"/>
  <c r="C176" i="9"/>
  <c r="B176" i="9"/>
  <c r="K175" i="9"/>
  <c r="I175" i="9"/>
  <c r="G175" i="9"/>
  <c r="F175" i="9"/>
  <c r="E175" i="9"/>
  <c r="D175" i="9"/>
  <c r="C175" i="9"/>
  <c r="B175" i="9"/>
  <c r="K174" i="9"/>
  <c r="I174" i="9"/>
  <c r="G174" i="9"/>
  <c r="F174" i="9"/>
  <c r="E174" i="9"/>
  <c r="D174" i="9"/>
  <c r="C174" i="9"/>
  <c r="B174" i="9"/>
  <c r="K173" i="9"/>
  <c r="I173" i="9"/>
  <c r="G173" i="9"/>
  <c r="F173" i="9"/>
  <c r="E173" i="9"/>
  <c r="D173" i="9"/>
  <c r="C173" i="9"/>
  <c r="B173" i="9"/>
  <c r="K172" i="9"/>
  <c r="I172" i="9"/>
  <c r="G172" i="9"/>
  <c r="F172" i="9"/>
  <c r="E172" i="9"/>
  <c r="D172" i="9"/>
  <c r="C172" i="9"/>
  <c r="B172" i="9"/>
  <c r="K171" i="9"/>
  <c r="I171" i="9"/>
  <c r="G171" i="9"/>
  <c r="F171" i="9"/>
  <c r="E171" i="9"/>
  <c r="D171" i="9"/>
  <c r="C171" i="9"/>
  <c r="B171" i="9"/>
  <c r="K170" i="9"/>
  <c r="I170" i="9"/>
  <c r="G170" i="9"/>
  <c r="F170" i="9"/>
  <c r="E170" i="9"/>
  <c r="D170" i="9"/>
  <c r="C170" i="9"/>
  <c r="B170" i="9"/>
  <c r="K169" i="9"/>
  <c r="I169" i="9"/>
  <c r="G169" i="9"/>
  <c r="F169" i="9"/>
  <c r="E169" i="9"/>
  <c r="D169" i="9"/>
  <c r="C169" i="9"/>
  <c r="B169" i="9"/>
  <c r="K168" i="9"/>
  <c r="I168" i="9"/>
  <c r="G168" i="9"/>
  <c r="F168" i="9"/>
  <c r="E168" i="9"/>
  <c r="D168" i="9"/>
  <c r="C168" i="9"/>
  <c r="B168" i="9"/>
  <c r="K167" i="9"/>
  <c r="I167" i="9"/>
  <c r="G167" i="9"/>
  <c r="F167" i="9"/>
  <c r="E167" i="9"/>
  <c r="D167" i="9"/>
  <c r="C167" i="9"/>
  <c r="B167" i="9"/>
  <c r="K166" i="9"/>
  <c r="I166" i="9"/>
  <c r="G166" i="9"/>
  <c r="F166" i="9"/>
  <c r="E166" i="9"/>
  <c r="D166" i="9"/>
  <c r="C166" i="9"/>
  <c r="B166" i="9"/>
  <c r="K165" i="9"/>
  <c r="I165" i="9"/>
  <c r="G165" i="9"/>
  <c r="F165" i="9"/>
  <c r="E165" i="9"/>
  <c r="D165" i="9"/>
  <c r="C165" i="9"/>
  <c r="B165" i="9"/>
  <c r="K164" i="9"/>
  <c r="I164" i="9"/>
  <c r="G164" i="9"/>
  <c r="F164" i="9"/>
  <c r="E164" i="9"/>
  <c r="D164" i="9"/>
  <c r="C164" i="9"/>
  <c r="B164" i="9"/>
  <c r="K163" i="9"/>
  <c r="I163" i="9"/>
  <c r="G163" i="9"/>
  <c r="F163" i="9"/>
  <c r="E163" i="9"/>
  <c r="D163" i="9"/>
  <c r="C163" i="9"/>
  <c r="B163" i="9"/>
  <c r="K162" i="9"/>
  <c r="I162" i="9"/>
  <c r="G162" i="9"/>
  <c r="F162" i="9"/>
  <c r="E162" i="9"/>
  <c r="D162" i="9"/>
  <c r="C162" i="9"/>
  <c r="B162" i="9"/>
  <c r="K161" i="9"/>
  <c r="I161" i="9"/>
  <c r="G161" i="9"/>
  <c r="F161" i="9"/>
  <c r="E161" i="9"/>
  <c r="D161" i="9"/>
  <c r="C161" i="9"/>
  <c r="B161" i="9"/>
  <c r="K160" i="9"/>
  <c r="I160" i="9"/>
  <c r="G160" i="9"/>
  <c r="F160" i="9"/>
  <c r="E160" i="9"/>
  <c r="D160" i="9"/>
  <c r="C160" i="9"/>
  <c r="B160" i="9"/>
  <c r="K159" i="9"/>
  <c r="I159" i="9"/>
  <c r="G159" i="9"/>
  <c r="F159" i="9"/>
  <c r="E159" i="9"/>
  <c r="D159" i="9"/>
  <c r="C159" i="9"/>
  <c r="B159" i="9"/>
  <c r="K158" i="9"/>
  <c r="I158" i="9"/>
  <c r="G158" i="9"/>
  <c r="F158" i="9"/>
  <c r="E158" i="9"/>
  <c r="D158" i="9"/>
  <c r="C158" i="9"/>
  <c r="B158" i="9"/>
  <c r="K157" i="9"/>
  <c r="I157" i="9"/>
  <c r="G157" i="9"/>
  <c r="F157" i="9"/>
  <c r="E157" i="9"/>
  <c r="D157" i="9"/>
  <c r="C157" i="9"/>
  <c r="B157" i="9"/>
  <c r="K156" i="9"/>
  <c r="I156" i="9"/>
  <c r="G156" i="9"/>
  <c r="F156" i="9"/>
  <c r="E156" i="9"/>
  <c r="D156" i="9"/>
  <c r="C156" i="9"/>
  <c r="B156" i="9"/>
  <c r="K155" i="9"/>
  <c r="I155" i="9"/>
  <c r="G155" i="9"/>
  <c r="F155" i="9"/>
  <c r="E155" i="9"/>
  <c r="D155" i="9"/>
  <c r="C155" i="9"/>
  <c r="B155" i="9"/>
  <c r="K154" i="9"/>
  <c r="I154" i="9"/>
  <c r="G154" i="9"/>
  <c r="F154" i="9"/>
  <c r="E154" i="9"/>
  <c r="D154" i="9"/>
  <c r="C154" i="9"/>
  <c r="B154" i="9"/>
  <c r="K153" i="9"/>
  <c r="I153" i="9"/>
  <c r="G153" i="9"/>
  <c r="F153" i="9"/>
  <c r="E153" i="9"/>
  <c r="D153" i="9"/>
  <c r="C153" i="9"/>
  <c r="B153" i="9"/>
  <c r="K152" i="9"/>
  <c r="I152" i="9"/>
  <c r="G152" i="9"/>
  <c r="F152" i="9"/>
  <c r="E152" i="9"/>
  <c r="D152" i="9"/>
  <c r="C152" i="9"/>
  <c r="B152" i="9"/>
  <c r="K151" i="9"/>
  <c r="I151" i="9"/>
  <c r="G151" i="9"/>
  <c r="F151" i="9"/>
  <c r="E151" i="9"/>
  <c r="D151" i="9"/>
  <c r="C151" i="9"/>
  <c r="B151" i="9"/>
  <c r="K150" i="9"/>
  <c r="I150" i="9"/>
  <c r="G150" i="9"/>
  <c r="F150" i="9"/>
  <c r="E150" i="9"/>
  <c r="D150" i="9"/>
  <c r="C150" i="9"/>
  <c r="B150" i="9"/>
  <c r="K149" i="9"/>
  <c r="I149" i="9"/>
  <c r="G149" i="9"/>
  <c r="F149" i="9"/>
  <c r="E149" i="9"/>
  <c r="D149" i="9"/>
  <c r="C149" i="9"/>
  <c r="B149" i="9"/>
  <c r="K148" i="9"/>
  <c r="I148" i="9"/>
  <c r="G148" i="9"/>
  <c r="F148" i="9"/>
  <c r="E148" i="9"/>
  <c r="D148" i="9"/>
  <c r="C148" i="9"/>
  <c r="B148" i="9"/>
  <c r="K147" i="9"/>
  <c r="I147" i="9"/>
  <c r="G147" i="9"/>
  <c r="F147" i="9"/>
  <c r="E147" i="9"/>
  <c r="D147" i="9"/>
  <c r="C147" i="9"/>
  <c r="B147" i="9"/>
  <c r="K146" i="9"/>
  <c r="I146" i="9"/>
  <c r="G146" i="9"/>
  <c r="F146" i="9"/>
  <c r="E146" i="9"/>
  <c r="D146" i="9"/>
  <c r="C146" i="9"/>
  <c r="B146" i="9"/>
  <c r="K145" i="9"/>
  <c r="I145" i="9"/>
  <c r="G145" i="9"/>
  <c r="F145" i="9"/>
  <c r="E145" i="9"/>
  <c r="D145" i="9"/>
  <c r="C145" i="9"/>
  <c r="B145" i="9"/>
  <c r="K144" i="9"/>
  <c r="I144" i="9"/>
  <c r="G144" i="9"/>
  <c r="F144" i="9"/>
  <c r="E144" i="9"/>
  <c r="D144" i="9"/>
  <c r="C144" i="9"/>
  <c r="B144" i="9"/>
  <c r="K143" i="9"/>
  <c r="I143" i="9"/>
  <c r="G143" i="9"/>
  <c r="F143" i="9"/>
  <c r="E143" i="9"/>
  <c r="D143" i="9"/>
  <c r="C143" i="9"/>
  <c r="B143" i="9"/>
  <c r="K142" i="9"/>
  <c r="I142" i="9"/>
  <c r="G142" i="9"/>
  <c r="F142" i="9"/>
  <c r="E142" i="9"/>
  <c r="D142" i="9"/>
  <c r="C142" i="9"/>
  <c r="B142" i="9"/>
  <c r="K141" i="9"/>
  <c r="I141" i="9"/>
  <c r="G141" i="9"/>
  <c r="F141" i="9"/>
  <c r="E141" i="9"/>
  <c r="D141" i="9"/>
  <c r="C141" i="9"/>
  <c r="B141" i="9"/>
  <c r="K140" i="9"/>
  <c r="I140" i="9"/>
  <c r="G140" i="9"/>
  <c r="F140" i="9"/>
  <c r="E140" i="9"/>
  <c r="D140" i="9"/>
  <c r="C140" i="9"/>
  <c r="B140" i="9"/>
  <c r="K139" i="9"/>
  <c r="I139" i="9"/>
  <c r="G139" i="9"/>
  <c r="F139" i="9"/>
  <c r="E139" i="9"/>
  <c r="D139" i="9"/>
  <c r="C139" i="9"/>
  <c r="B139" i="9"/>
  <c r="K138" i="9"/>
  <c r="I138" i="9"/>
  <c r="G138" i="9"/>
  <c r="F138" i="9"/>
  <c r="E138" i="9"/>
  <c r="D138" i="9"/>
  <c r="C138" i="9"/>
  <c r="B138" i="9"/>
  <c r="K137" i="9"/>
  <c r="I137" i="9"/>
  <c r="G137" i="9"/>
  <c r="F137" i="9"/>
  <c r="E137" i="9"/>
  <c r="D137" i="9"/>
  <c r="C137" i="9"/>
  <c r="B137" i="9"/>
  <c r="K136" i="9"/>
  <c r="I136" i="9"/>
  <c r="G136" i="9"/>
  <c r="F136" i="9"/>
  <c r="E136" i="9"/>
  <c r="D136" i="9"/>
  <c r="C136" i="9"/>
  <c r="B136" i="9"/>
  <c r="K135" i="9"/>
  <c r="I135" i="9"/>
  <c r="G135" i="9"/>
  <c r="F135" i="9"/>
  <c r="E135" i="9"/>
  <c r="D135" i="9"/>
  <c r="C135" i="9"/>
  <c r="B135" i="9"/>
  <c r="K134" i="9"/>
  <c r="I134" i="9"/>
  <c r="G134" i="9"/>
  <c r="F134" i="9"/>
  <c r="E134" i="9"/>
  <c r="D134" i="9"/>
  <c r="C134" i="9"/>
  <c r="B134" i="9"/>
  <c r="K133" i="9"/>
  <c r="I133" i="9"/>
  <c r="G133" i="9"/>
  <c r="F133" i="9"/>
  <c r="E133" i="9"/>
  <c r="D133" i="9"/>
  <c r="C133" i="9"/>
  <c r="B133" i="9"/>
  <c r="K132" i="9"/>
  <c r="I132" i="9"/>
  <c r="G132" i="9"/>
  <c r="F132" i="9"/>
  <c r="E132" i="9"/>
  <c r="D132" i="9"/>
  <c r="C132" i="9"/>
  <c r="B132" i="9"/>
  <c r="K131" i="9"/>
  <c r="I131" i="9"/>
  <c r="G131" i="9"/>
  <c r="F131" i="9"/>
  <c r="E131" i="9"/>
  <c r="D131" i="9"/>
  <c r="C131" i="9"/>
  <c r="B131" i="9"/>
  <c r="K130" i="9"/>
  <c r="I130" i="9"/>
  <c r="G130" i="9"/>
  <c r="F130" i="9"/>
  <c r="E130" i="9"/>
  <c r="D130" i="9"/>
  <c r="C130" i="9"/>
  <c r="B130" i="9"/>
  <c r="K129" i="9"/>
  <c r="I129" i="9"/>
  <c r="G129" i="9"/>
  <c r="F129" i="9"/>
  <c r="E129" i="9"/>
  <c r="D129" i="9"/>
  <c r="C129" i="9"/>
  <c r="B129" i="9"/>
  <c r="K128" i="9"/>
  <c r="I128" i="9"/>
  <c r="G128" i="9"/>
  <c r="F128" i="9"/>
  <c r="E128" i="9"/>
  <c r="D128" i="9"/>
  <c r="C128" i="9"/>
  <c r="B128" i="9"/>
  <c r="K127" i="9"/>
  <c r="I127" i="9"/>
  <c r="G127" i="9"/>
  <c r="F127" i="9"/>
  <c r="E127" i="9"/>
  <c r="D127" i="9"/>
  <c r="C127" i="9"/>
  <c r="B127" i="9"/>
  <c r="K126" i="9"/>
  <c r="I126" i="9"/>
  <c r="G126" i="9"/>
  <c r="F126" i="9"/>
  <c r="E126" i="9"/>
  <c r="D126" i="9"/>
  <c r="C126" i="9"/>
  <c r="B126" i="9"/>
  <c r="K125" i="9"/>
  <c r="I125" i="9"/>
  <c r="G125" i="9"/>
  <c r="F125" i="9"/>
  <c r="E125" i="9"/>
  <c r="D125" i="9"/>
  <c r="C125" i="9"/>
  <c r="B125" i="9"/>
  <c r="K124" i="9"/>
  <c r="I124" i="9"/>
  <c r="G124" i="9"/>
  <c r="F124" i="9"/>
  <c r="E124" i="9"/>
  <c r="D124" i="9"/>
  <c r="C124" i="9"/>
  <c r="B124" i="9"/>
  <c r="K123" i="9"/>
  <c r="I123" i="9"/>
  <c r="G123" i="9"/>
  <c r="F123" i="9"/>
  <c r="E123" i="9"/>
  <c r="D123" i="9"/>
  <c r="C123" i="9"/>
  <c r="B123" i="9"/>
  <c r="K122" i="9"/>
  <c r="I122" i="9"/>
  <c r="G122" i="9"/>
  <c r="F122" i="9"/>
  <c r="E122" i="9"/>
  <c r="D122" i="9"/>
  <c r="C122" i="9"/>
  <c r="B122" i="9"/>
  <c r="K121" i="9"/>
  <c r="I121" i="9"/>
  <c r="G121" i="9"/>
  <c r="F121" i="9"/>
  <c r="E121" i="9"/>
  <c r="D121" i="9"/>
  <c r="C121" i="9"/>
  <c r="B121" i="9"/>
  <c r="K120" i="9"/>
  <c r="I120" i="9"/>
  <c r="G120" i="9"/>
  <c r="F120" i="9"/>
  <c r="E120" i="9"/>
  <c r="D120" i="9"/>
  <c r="C120" i="9"/>
  <c r="B120" i="9"/>
  <c r="K119" i="9"/>
  <c r="I119" i="9"/>
  <c r="G119" i="9"/>
  <c r="F119" i="9"/>
  <c r="E119" i="9"/>
  <c r="D119" i="9"/>
  <c r="C119" i="9"/>
  <c r="B119" i="9"/>
  <c r="K118" i="9"/>
  <c r="I118" i="9"/>
  <c r="G118" i="9"/>
  <c r="F118" i="9"/>
  <c r="E118" i="9"/>
  <c r="D118" i="9"/>
  <c r="C118" i="9"/>
  <c r="B118" i="9"/>
  <c r="K117" i="9"/>
  <c r="I117" i="9"/>
  <c r="G117" i="9"/>
  <c r="F117" i="9"/>
  <c r="E117" i="9"/>
  <c r="D117" i="9"/>
  <c r="C117" i="9"/>
  <c r="B117" i="9"/>
  <c r="K116" i="9"/>
  <c r="I116" i="9"/>
  <c r="G116" i="9"/>
  <c r="F116" i="9"/>
  <c r="E116" i="9"/>
  <c r="D116" i="9"/>
  <c r="C116" i="9"/>
  <c r="B116" i="9"/>
  <c r="K115" i="9"/>
  <c r="I115" i="9"/>
  <c r="G115" i="9"/>
  <c r="F115" i="9"/>
  <c r="E115" i="9"/>
  <c r="D115" i="9"/>
  <c r="C115" i="9"/>
  <c r="B115" i="9"/>
  <c r="K114" i="9"/>
  <c r="I114" i="9"/>
  <c r="G114" i="9"/>
  <c r="F114" i="9"/>
  <c r="E114" i="9"/>
  <c r="D114" i="9"/>
  <c r="C114" i="9"/>
  <c r="B114" i="9"/>
  <c r="K113" i="9"/>
  <c r="I113" i="9"/>
  <c r="G113" i="9"/>
  <c r="F113" i="9"/>
  <c r="E113" i="9"/>
  <c r="D113" i="9"/>
  <c r="C113" i="9"/>
  <c r="B113" i="9"/>
  <c r="K112" i="9"/>
  <c r="I112" i="9"/>
  <c r="G112" i="9"/>
  <c r="F112" i="9"/>
  <c r="E112" i="9"/>
  <c r="D112" i="9"/>
  <c r="C112" i="9"/>
  <c r="B112" i="9"/>
  <c r="K111" i="9"/>
  <c r="I111" i="9"/>
  <c r="G111" i="9"/>
  <c r="F111" i="9"/>
  <c r="E111" i="9"/>
  <c r="D111" i="9"/>
  <c r="C111" i="9"/>
  <c r="B111" i="9"/>
  <c r="K110" i="9"/>
  <c r="I110" i="9"/>
  <c r="G110" i="9"/>
  <c r="F110" i="9"/>
  <c r="E110" i="9"/>
  <c r="D110" i="9"/>
  <c r="C110" i="9"/>
  <c r="B110" i="9"/>
  <c r="K109" i="9"/>
  <c r="I109" i="9"/>
  <c r="G109" i="9"/>
  <c r="F109" i="9"/>
  <c r="E109" i="9"/>
  <c r="D109" i="9"/>
  <c r="C109" i="9"/>
  <c r="B109" i="9"/>
  <c r="K108" i="9"/>
  <c r="I108" i="9"/>
  <c r="G108" i="9"/>
  <c r="F108" i="9"/>
  <c r="E108" i="9"/>
  <c r="D108" i="9"/>
  <c r="C108" i="9"/>
  <c r="B108" i="9"/>
  <c r="K107" i="9"/>
  <c r="I107" i="9"/>
  <c r="G107" i="9"/>
  <c r="F107" i="9"/>
  <c r="E107" i="9"/>
  <c r="D107" i="9"/>
  <c r="C107" i="9"/>
  <c r="B107" i="9"/>
  <c r="K106" i="9"/>
  <c r="I106" i="9"/>
  <c r="G106" i="9"/>
  <c r="F106" i="9"/>
  <c r="E106" i="9"/>
  <c r="D106" i="9"/>
  <c r="C106" i="9"/>
  <c r="B106" i="9"/>
  <c r="K105" i="9"/>
  <c r="I105" i="9"/>
  <c r="G105" i="9"/>
  <c r="F105" i="9"/>
  <c r="E105" i="9"/>
  <c r="D105" i="9"/>
  <c r="C105" i="9"/>
  <c r="B105" i="9"/>
  <c r="K104" i="9"/>
  <c r="I104" i="9"/>
  <c r="G104" i="9"/>
  <c r="F104" i="9"/>
  <c r="E104" i="9"/>
  <c r="D104" i="9"/>
  <c r="C104" i="9"/>
  <c r="B104" i="9"/>
  <c r="K103" i="9"/>
  <c r="I103" i="9"/>
  <c r="G103" i="9"/>
  <c r="F103" i="9"/>
  <c r="E103" i="9"/>
  <c r="D103" i="9"/>
  <c r="C103" i="9"/>
  <c r="B103" i="9"/>
  <c r="K102" i="9"/>
  <c r="I102" i="9"/>
  <c r="G102" i="9"/>
  <c r="F102" i="9"/>
  <c r="E102" i="9"/>
  <c r="D102" i="9"/>
  <c r="C102" i="9"/>
  <c r="B102" i="9"/>
  <c r="K101" i="9"/>
  <c r="I101" i="9"/>
  <c r="G101" i="9"/>
  <c r="F101" i="9"/>
  <c r="E101" i="9"/>
  <c r="D101" i="9"/>
  <c r="C101" i="9"/>
  <c r="B101" i="9"/>
  <c r="K100" i="9"/>
  <c r="I100" i="9"/>
  <c r="G100" i="9"/>
  <c r="F100" i="9"/>
  <c r="E100" i="9"/>
  <c r="D100" i="9"/>
  <c r="C100" i="9"/>
  <c r="B100" i="9"/>
  <c r="K99" i="9"/>
  <c r="I99" i="9"/>
  <c r="G99" i="9"/>
  <c r="F99" i="9"/>
  <c r="E99" i="9"/>
  <c r="D99" i="9"/>
  <c r="C99" i="9"/>
  <c r="B99" i="9"/>
  <c r="K98" i="9"/>
  <c r="I98" i="9"/>
  <c r="G98" i="9"/>
  <c r="F98" i="9"/>
  <c r="E98" i="9"/>
  <c r="D98" i="9"/>
  <c r="C98" i="9"/>
  <c r="B98" i="9"/>
  <c r="K97" i="9"/>
  <c r="I97" i="9"/>
  <c r="G97" i="9"/>
  <c r="F97" i="9"/>
  <c r="E97" i="9"/>
  <c r="D97" i="9"/>
  <c r="C97" i="9"/>
  <c r="B97" i="9"/>
  <c r="K96" i="9"/>
  <c r="I96" i="9"/>
  <c r="G96" i="9"/>
  <c r="F96" i="9"/>
  <c r="E96" i="9"/>
  <c r="D96" i="9"/>
  <c r="C96" i="9"/>
  <c r="B96" i="9"/>
  <c r="K95" i="9"/>
  <c r="I95" i="9"/>
  <c r="G95" i="9"/>
  <c r="F95" i="9"/>
  <c r="E95" i="9"/>
  <c r="D95" i="9"/>
  <c r="C95" i="9"/>
  <c r="B95" i="9"/>
  <c r="K94" i="9"/>
  <c r="I94" i="9"/>
  <c r="G94" i="9"/>
  <c r="F94" i="9"/>
  <c r="E94" i="9"/>
  <c r="D94" i="9"/>
  <c r="C94" i="9"/>
  <c r="B94" i="9"/>
  <c r="K93" i="9"/>
  <c r="I93" i="9"/>
  <c r="G93" i="9"/>
  <c r="F93" i="9"/>
  <c r="E93" i="9"/>
  <c r="D93" i="9"/>
  <c r="C93" i="9"/>
  <c r="B93" i="9"/>
  <c r="K92" i="9"/>
  <c r="I92" i="9"/>
  <c r="G92" i="9"/>
  <c r="F92" i="9"/>
  <c r="E92" i="9"/>
  <c r="D92" i="9"/>
  <c r="C92" i="9"/>
  <c r="B92" i="9"/>
  <c r="K91" i="9"/>
  <c r="I91" i="9"/>
  <c r="G91" i="9"/>
  <c r="F91" i="9"/>
  <c r="E91" i="9"/>
  <c r="D91" i="9"/>
  <c r="C91" i="9"/>
  <c r="B91" i="9"/>
  <c r="K90" i="9"/>
  <c r="I90" i="9"/>
  <c r="G90" i="9"/>
  <c r="F90" i="9"/>
  <c r="E90" i="9"/>
  <c r="D90" i="9"/>
  <c r="C90" i="9"/>
  <c r="B90" i="9"/>
  <c r="K89" i="9"/>
  <c r="I89" i="9"/>
  <c r="G89" i="9"/>
  <c r="F89" i="9"/>
  <c r="E89" i="9"/>
  <c r="D89" i="9"/>
  <c r="C89" i="9"/>
  <c r="B89" i="9"/>
  <c r="K88" i="9"/>
  <c r="I88" i="9"/>
  <c r="G88" i="9"/>
  <c r="F88" i="9"/>
  <c r="E88" i="9"/>
  <c r="D88" i="9"/>
  <c r="C88" i="9"/>
  <c r="B88" i="9"/>
  <c r="K87" i="9"/>
  <c r="I87" i="9"/>
  <c r="G87" i="9"/>
  <c r="F87" i="9"/>
  <c r="E87" i="9"/>
  <c r="D87" i="9"/>
  <c r="C87" i="9"/>
  <c r="B87" i="9"/>
  <c r="K86" i="9"/>
  <c r="I86" i="9"/>
  <c r="G86" i="9"/>
  <c r="F86" i="9"/>
  <c r="E86" i="9"/>
  <c r="D86" i="9"/>
  <c r="C86" i="9"/>
  <c r="B86" i="9"/>
  <c r="K85" i="9"/>
  <c r="I85" i="9"/>
  <c r="G85" i="9"/>
  <c r="F85" i="9"/>
  <c r="E85" i="9"/>
  <c r="D85" i="9"/>
  <c r="C85" i="9"/>
  <c r="B85" i="9"/>
  <c r="K84" i="9"/>
  <c r="I84" i="9"/>
  <c r="G84" i="9"/>
  <c r="F84" i="9"/>
  <c r="E84" i="9"/>
  <c r="D84" i="9"/>
  <c r="C84" i="9"/>
  <c r="B84" i="9"/>
  <c r="K83" i="9"/>
  <c r="I83" i="9"/>
  <c r="G83" i="9"/>
  <c r="F83" i="9"/>
  <c r="E83" i="9"/>
  <c r="D83" i="9"/>
  <c r="C83" i="9"/>
  <c r="B83" i="9"/>
  <c r="K82" i="9"/>
  <c r="I82" i="9"/>
  <c r="G82" i="9"/>
  <c r="F82" i="9"/>
  <c r="E82" i="9"/>
  <c r="D82" i="9"/>
  <c r="C82" i="9"/>
  <c r="B82" i="9"/>
  <c r="K81" i="9"/>
  <c r="I81" i="9"/>
  <c r="G81" i="9"/>
  <c r="F81" i="9"/>
  <c r="E81" i="9"/>
  <c r="D81" i="9"/>
  <c r="C81" i="9"/>
  <c r="B81" i="9"/>
  <c r="K80" i="9"/>
  <c r="I80" i="9"/>
  <c r="G80" i="9"/>
  <c r="F80" i="9"/>
  <c r="E80" i="9"/>
  <c r="D80" i="9"/>
  <c r="C80" i="9"/>
  <c r="B80" i="9"/>
  <c r="K79" i="9"/>
  <c r="I79" i="9"/>
  <c r="G79" i="9"/>
  <c r="F79" i="9"/>
  <c r="E79" i="9"/>
  <c r="D79" i="9"/>
  <c r="C79" i="9"/>
  <c r="B79" i="9"/>
  <c r="K78" i="9"/>
  <c r="I78" i="9"/>
  <c r="G78" i="9"/>
  <c r="F78" i="9"/>
  <c r="E78" i="9"/>
  <c r="D78" i="9"/>
  <c r="C78" i="9"/>
  <c r="B78" i="9"/>
  <c r="K77" i="9"/>
  <c r="I77" i="9"/>
  <c r="G77" i="9"/>
  <c r="F77" i="9"/>
  <c r="E77" i="9"/>
  <c r="D77" i="9"/>
  <c r="C77" i="9"/>
  <c r="B77" i="9"/>
  <c r="K76" i="9"/>
  <c r="I76" i="9"/>
  <c r="G76" i="9"/>
  <c r="F76" i="9"/>
  <c r="E76" i="9"/>
  <c r="D76" i="9"/>
  <c r="C76" i="9"/>
  <c r="B76" i="9"/>
  <c r="K75" i="9"/>
  <c r="I75" i="9"/>
  <c r="G75" i="9"/>
  <c r="F75" i="9"/>
  <c r="E75" i="9"/>
  <c r="D75" i="9"/>
  <c r="C75" i="9"/>
  <c r="B75" i="9"/>
  <c r="K74" i="9"/>
  <c r="I74" i="9"/>
  <c r="G74" i="9"/>
  <c r="F74" i="9"/>
  <c r="E74" i="9"/>
  <c r="D74" i="9"/>
  <c r="C74" i="9"/>
  <c r="B74" i="9"/>
  <c r="K73" i="9"/>
  <c r="I73" i="9"/>
  <c r="G73" i="9"/>
  <c r="F73" i="9"/>
  <c r="E73" i="9"/>
  <c r="D73" i="9"/>
  <c r="C73" i="9"/>
  <c r="B73" i="9"/>
  <c r="K72" i="9"/>
  <c r="I72" i="9"/>
  <c r="G72" i="9"/>
  <c r="F72" i="9"/>
  <c r="E72" i="9"/>
  <c r="D72" i="9"/>
  <c r="C72" i="9"/>
  <c r="B72" i="9"/>
  <c r="K71" i="9"/>
  <c r="I71" i="9"/>
  <c r="G71" i="9"/>
  <c r="F71" i="9"/>
  <c r="E71" i="9"/>
  <c r="D71" i="9"/>
  <c r="C71" i="9"/>
  <c r="B71" i="9"/>
  <c r="K70" i="9"/>
  <c r="I70" i="9"/>
  <c r="G70" i="9"/>
  <c r="F70" i="9"/>
  <c r="E70" i="9"/>
  <c r="D70" i="9"/>
  <c r="C70" i="9"/>
  <c r="B70" i="9"/>
  <c r="K69" i="9"/>
  <c r="I69" i="9"/>
  <c r="G69" i="9"/>
  <c r="F69" i="9"/>
  <c r="E69" i="9"/>
  <c r="D69" i="9"/>
  <c r="C69" i="9"/>
  <c r="B69" i="9"/>
  <c r="K68" i="9"/>
  <c r="I68" i="9"/>
  <c r="G68" i="9"/>
  <c r="F68" i="9"/>
  <c r="E68" i="9"/>
  <c r="D68" i="9"/>
  <c r="C68" i="9"/>
  <c r="B68" i="9"/>
  <c r="K67" i="9"/>
  <c r="I67" i="9"/>
  <c r="G67" i="9"/>
  <c r="F67" i="9"/>
  <c r="E67" i="9"/>
  <c r="D67" i="9"/>
  <c r="C67" i="9"/>
  <c r="B67" i="9"/>
  <c r="K66" i="9"/>
  <c r="I66" i="9"/>
  <c r="G66" i="9"/>
  <c r="F66" i="9"/>
  <c r="E66" i="9"/>
  <c r="D66" i="9"/>
  <c r="C66" i="9"/>
  <c r="B66" i="9"/>
  <c r="K65" i="9"/>
  <c r="I65" i="9"/>
  <c r="G65" i="9"/>
  <c r="F65" i="9"/>
  <c r="E65" i="9"/>
  <c r="D65" i="9"/>
  <c r="C65" i="9"/>
  <c r="B65" i="9"/>
  <c r="K64" i="9"/>
  <c r="I64" i="9"/>
  <c r="G64" i="9"/>
  <c r="F64" i="9"/>
  <c r="E64" i="9"/>
  <c r="D64" i="9"/>
  <c r="C64" i="9"/>
  <c r="B64" i="9"/>
  <c r="K63" i="9"/>
  <c r="I63" i="9"/>
  <c r="G63" i="9"/>
  <c r="F63" i="9"/>
  <c r="E63" i="9"/>
  <c r="D63" i="9"/>
  <c r="C63" i="9"/>
  <c r="B63" i="9"/>
  <c r="K62" i="9"/>
  <c r="I62" i="9"/>
  <c r="G62" i="9"/>
  <c r="F62" i="9"/>
  <c r="E62" i="9"/>
  <c r="D62" i="9"/>
  <c r="C62" i="9"/>
  <c r="B62" i="9"/>
  <c r="K61" i="9"/>
  <c r="I61" i="9"/>
  <c r="G61" i="9"/>
  <c r="F61" i="9"/>
  <c r="E61" i="9"/>
  <c r="D61" i="9"/>
  <c r="C61" i="9"/>
  <c r="B61" i="9"/>
  <c r="K60" i="9"/>
  <c r="I60" i="9"/>
  <c r="G60" i="9"/>
  <c r="F60" i="9"/>
  <c r="E60" i="9"/>
  <c r="D60" i="9"/>
  <c r="C60" i="9"/>
  <c r="B60" i="9"/>
  <c r="K59" i="9"/>
  <c r="I59" i="9"/>
  <c r="G59" i="9"/>
  <c r="F59" i="9"/>
  <c r="E59" i="9"/>
  <c r="D59" i="9"/>
  <c r="C59" i="9"/>
  <c r="B59" i="9"/>
  <c r="K58" i="9"/>
  <c r="I58" i="9"/>
  <c r="G58" i="9"/>
  <c r="F58" i="9"/>
  <c r="E58" i="9"/>
  <c r="D58" i="9"/>
  <c r="C58" i="9"/>
  <c r="B58" i="9"/>
  <c r="K57" i="9"/>
  <c r="I57" i="9"/>
  <c r="G57" i="9"/>
  <c r="F57" i="9"/>
  <c r="E57" i="9"/>
  <c r="D57" i="9"/>
  <c r="C57" i="9"/>
  <c r="B57" i="9"/>
  <c r="K56" i="9"/>
  <c r="I56" i="9"/>
  <c r="G56" i="9"/>
  <c r="F56" i="9"/>
  <c r="E56" i="9"/>
  <c r="D56" i="9"/>
  <c r="C56" i="9"/>
  <c r="B56" i="9"/>
  <c r="K55" i="9"/>
  <c r="I55" i="9"/>
  <c r="G55" i="9"/>
  <c r="F55" i="9"/>
  <c r="E55" i="9"/>
  <c r="D55" i="9"/>
  <c r="C55" i="9"/>
  <c r="B55" i="9"/>
  <c r="K54" i="9"/>
  <c r="I54" i="9"/>
  <c r="G54" i="9"/>
  <c r="F54" i="9"/>
  <c r="E54" i="9"/>
  <c r="D54" i="9"/>
  <c r="C54" i="9"/>
  <c r="B54" i="9"/>
  <c r="K53" i="9"/>
  <c r="I53" i="9"/>
  <c r="G53" i="9"/>
  <c r="F53" i="9"/>
  <c r="E53" i="9"/>
  <c r="D53" i="9"/>
  <c r="C53" i="9"/>
  <c r="B53" i="9"/>
  <c r="K52" i="9"/>
  <c r="I52" i="9"/>
  <c r="G52" i="9"/>
  <c r="F52" i="9"/>
  <c r="E52" i="9"/>
  <c r="D52" i="9"/>
  <c r="C52" i="9"/>
  <c r="B52" i="9"/>
  <c r="K51" i="9"/>
  <c r="I51" i="9"/>
  <c r="G51" i="9"/>
  <c r="F51" i="9"/>
  <c r="E51" i="9"/>
  <c r="D51" i="9"/>
  <c r="C51" i="9"/>
  <c r="B51" i="9"/>
  <c r="K50" i="9"/>
  <c r="I50" i="9"/>
  <c r="G50" i="9"/>
  <c r="F50" i="9"/>
  <c r="E50" i="9"/>
  <c r="D50" i="9"/>
  <c r="C50" i="9"/>
  <c r="B50" i="9"/>
  <c r="K49" i="9"/>
  <c r="I49" i="9"/>
  <c r="G49" i="9"/>
  <c r="F49" i="9"/>
  <c r="E49" i="9"/>
  <c r="D49" i="9"/>
  <c r="C49" i="9"/>
  <c r="B49" i="9"/>
  <c r="K48" i="9"/>
  <c r="I48" i="9"/>
  <c r="G48" i="9"/>
  <c r="F48" i="9"/>
  <c r="E48" i="9"/>
  <c r="D48" i="9"/>
  <c r="C48" i="9"/>
  <c r="B48" i="9"/>
  <c r="K47" i="9"/>
  <c r="I47" i="9"/>
  <c r="G47" i="9"/>
  <c r="F47" i="9"/>
  <c r="E47" i="9"/>
  <c r="D47" i="9"/>
  <c r="C47" i="9"/>
  <c r="B47" i="9"/>
  <c r="K46" i="9"/>
  <c r="I46" i="9"/>
  <c r="G46" i="9"/>
  <c r="F46" i="9"/>
  <c r="E46" i="9"/>
  <c r="D46" i="9"/>
  <c r="C46" i="9"/>
  <c r="B46" i="9"/>
  <c r="K45" i="9"/>
  <c r="I45" i="9"/>
  <c r="G45" i="9"/>
  <c r="F45" i="9"/>
  <c r="E45" i="9"/>
  <c r="D45" i="9"/>
  <c r="C45" i="9"/>
  <c r="B45" i="9"/>
  <c r="K44" i="9"/>
  <c r="I44" i="9"/>
  <c r="G44" i="9"/>
  <c r="F44" i="9"/>
  <c r="E44" i="9"/>
  <c r="D44" i="9"/>
  <c r="C44" i="9"/>
  <c r="B44" i="9"/>
  <c r="K43" i="9"/>
  <c r="I43" i="9"/>
  <c r="G43" i="9"/>
  <c r="F43" i="9"/>
  <c r="E43" i="9"/>
  <c r="D43" i="9"/>
  <c r="C43" i="9"/>
  <c r="B43" i="9"/>
  <c r="K42" i="9"/>
  <c r="I42" i="9"/>
  <c r="G42" i="9"/>
  <c r="F42" i="9"/>
  <c r="E42" i="9"/>
  <c r="D42" i="9"/>
  <c r="C42" i="9"/>
  <c r="B42" i="9"/>
  <c r="K41" i="9"/>
  <c r="I41" i="9"/>
  <c r="G41" i="9"/>
  <c r="F41" i="9"/>
  <c r="E41" i="9"/>
  <c r="D41" i="9"/>
  <c r="C41" i="9"/>
  <c r="B41" i="9"/>
  <c r="K40" i="9"/>
  <c r="I40" i="9"/>
  <c r="G40" i="9"/>
  <c r="F40" i="9"/>
  <c r="E40" i="9"/>
  <c r="D40" i="9"/>
  <c r="C40" i="9"/>
  <c r="B40" i="9"/>
  <c r="K39" i="9"/>
  <c r="I39" i="9"/>
  <c r="G39" i="9"/>
  <c r="F39" i="9"/>
  <c r="E39" i="9"/>
  <c r="D39" i="9"/>
  <c r="C39" i="9"/>
  <c r="B39" i="9"/>
  <c r="K38" i="9"/>
  <c r="I38" i="9"/>
  <c r="G38" i="9"/>
  <c r="F38" i="9"/>
  <c r="E38" i="9"/>
  <c r="D38" i="9"/>
  <c r="C38" i="9"/>
  <c r="B38" i="9"/>
  <c r="K37" i="9"/>
  <c r="I37" i="9"/>
  <c r="G37" i="9"/>
  <c r="F37" i="9"/>
  <c r="E37" i="9"/>
  <c r="D37" i="9"/>
  <c r="C37" i="9"/>
  <c r="B37" i="9"/>
  <c r="K36" i="9"/>
  <c r="I36" i="9"/>
  <c r="G36" i="9"/>
  <c r="F36" i="9"/>
  <c r="E36" i="9"/>
  <c r="D36" i="9"/>
  <c r="C36" i="9"/>
  <c r="B36" i="9"/>
  <c r="K35" i="9"/>
  <c r="I35" i="9"/>
  <c r="G35" i="9"/>
  <c r="F35" i="9"/>
  <c r="E35" i="9"/>
  <c r="D35" i="9"/>
  <c r="C35" i="9"/>
  <c r="B35" i="9"/>
  <c r="K34" i="9"/>
  <c r="I34" i="9"/>
  <c r="G34" i="9"/>
  <c r="F34" i="9"/>
  <c r="E34" i="9"/>
  <c r="D34" i="9"/>
  <c r="C34" i="9"/>
  <c r="B34" i="9"/>
  <c r="K33" i="9"/>
  <c r="I33" i="9"/>
  <c r="G33" i="9"/>
  <c r="F33" i="9"/>
  <c r="E33" i="9"/>
  <c r="D33" i="9"/>
  <c r="C33" i="9"/>
  <c r="B33" i="9"/>
  <c r="K32" i="9"/>
  <c r="I32" i="9"/>
  <c r="G32" i="9"/>
  <c r="F32" i="9"/>
  <c r="E32" i="9"/>
  <c r="D32" i="9"/>
  <c r="C32" i="9"/>
  <c r="B32" i="9"/>
  <c r="K31" i="9"/>
  <c r="I31" i="9"/>
  <c r="G31" i="9"/>
  <c r="F31" i="9"/>
  <c r="E31" i="9"/>
  <c r="D31" i="9"/>
  <c r="C31" i="9"/>
  <c r="B31" i="9"/>
  <c r="K30" i="9"/>
  <c r="I30" i="9"/>
  <c r="G30" i="9"/>
  <c r="F30" i="9"/>
  <c r="E30" i="9"/>
  <c r="D30" i="9"/>
  <c r="C30" i="9"/>
  <c r="B30" i="9"/>
  <c r="K29" i="9"/>
  <c r="I29" i="9"/>
  <c r="G29" i="9"/>
  <c r="F29" i="9"/>
  <c r="E29" i="9"/>
  <c r="D29" i="9"/>
  <c r="C29" i="9"/>
  <c r="B29" i="9"/>
  <c r="K28" i="9"/>
  <c r="I28" i="9"/>
  <c r="G28" i="9"/>
  <c r="F28" i="9"/>
  <c r="E28" i="9"/>
  <c r="D28" i="9"/>
  <c r="C28" i="9"/>
  <c r="B28" i="9"/>
  <c r="K27" i="9"/>
  <c r="I27" i="9"/>
  <c r="G27" i="9"/>
  <c r="F27" i="9"/>
  <c r="E27" i="9"/>
  <c r="D27" i="9"/>
  <c r="C27" i="9"/>
  <c r="B27" i="9"/>
  <c r="K26" i="9"/>
  <c r="I26" i="9"/>
  <c r="G26" i="9"/>
  <c r="F26" i="9"/>
  <c r="E26" i="9"/>
  <c r="D26" i="9"/>
  <c r="C26" i="9"/>
  <c r="B26" i="9"/>
  <c r="K25" i="9"/>
  <c r="I25" i="9"/>
  <c r="G25" i="9"/>
  <c r="F25" i="9"/>
  <c r="E25" i="9"/>
  <c r="D25" i="9"/>
  <c r="C25" i="9"/>
  <c r="B25" i="9"/>
  <c r="K24" i="9"/>
  <c r="I24" i="9"/>
  <c r="G24" i="9"/>
  <c r="F24" i="9"/>
  <c r="E24" i="9"/>
  <c r="D24" i="9"/>
  <c r="C24" i="9"/>
  <c r="B24" i="9"/>
  <c r="K23" i="9"/>
  <c r="I23" i="9"/>
  <c r="G23" i="9"/>
  <c r="F23" i="9"/>
  <c r="E23" i="9"/>
  <c r="D23" i="9"/>
  <c r="C23" i="9"/>
  <c r="B23" i="9"/>
  <c r="K22" i="9"/>
  <c r="I22" i="9"/>
  <c r="G22" i="9"/>
  <c r="F22" i="9"/>
  <c r="E22" i="9"/>
  <c r="D22" i="9"/>
  <c r="C22" i="9"/>
  <c r="B22" i="9"/>
  <c r="K21" i="9"/>
  <c r="I21" i="9"/>
  <c r="G21" i="9"/>
  <c r="F21" i="9"/>
  <c r="E21" i="9"/>
  <c r="D21" i="9"/>
  <c r="C21" i="9"/>
  <c r="B21" i="9"/>
  <c r="K20" i="9"/>
  <c r="I20" i="9"/>
  <c r="G20" i="9"/>
  <c r="F20" i="9"/>
  <c r="E20" i="9"/>
  <c r="D20" i="9"/>
  <c r="C20" i="9"/>
  <c r="B20" i="9"/>
  <c r="K19" i="9"/>
  <c r="I19" i="9"/>
  <c r="G19" i="9"/>
  <c r="F19" i="9"/>
  <c r="E19" i="9"/>
  <c r="D19" i="9"/>
  <c r="C19" i="9"/>
  <c r="B19" i="9"/>
  <c r="K18" i="9"/>
  <c r="I18" i="9"/>
  <c r="G18" i="9"/>
  <c r="F18" i="9"/>
  <c r="E18" i="9"/>
  <c r="D18" i="9"/>
  <c r="C18" i="9"/>
  <c r="B18" i="9"/>
  <c r="K17" i="9"/>
  <c r="I17" i="9"/>
  <c r="G17" i="9"/>
  <c r="F17" i="9"/>
  <c r="E17" i="9"/>
  <c r="D17" i="9"/>
  <c r="C17" i="9"/>
  <c r="B17" i="9"/>
  <c r="K16" i="9"/>
  <c r="I16" i="9"/>
  <c r="G16" i="9"/>
  <c r="F16" i="9"/>
  <c r="E16" i="9"/>
  <c r="D16" i="9"/>
  <c r="C16" i="9"/>
  <c r="B16" i="9"/>
  <c r="K15" i="9"/>
  <c r="I15" i="9"/>
  <c r="G15" i="9"/>
  <c r="F15" i="9"/>
  <c r="E15" i="9"/>
  <c r="D15" i="9"/>
  <c r="C15" i="9"/>
  <c r="B15" i="9"/>
  <c r="K14" i="9"/>
  <c r="I14" i="9"/>
  <c r="G14" i="9"/>
  <c r="F14" i="9"/>
  <c r="E14" i="9"/>
  <c r="D14" i="9"/>
  <c r="C14" i="9"/>
  <c r="B14" i="9"/>
  <c r="K13" i="9"/>
  <c r="I13" i="9"/>
  <c r="G13" i="9"/>
  <c r="F13" i="9"/>
  <c r="E13" i="9"/>
  <c r="D13" i="9"/>
  <c r="C13" i="9"/>
  <c r="B13" i="9"/>
  <c r="K12" i="9"/>
  <c r="I12" i="9"/>
  <c r="G12" i="9"/>
  <c r="F12" i="9"/>
  <c r="E12" i="9"/>
  <c r="D12" i="9"/>
  <c r="C12" i="9"/>
  <c r="B12" i="9"/>
  <c r="K11" i="9"/>
  <c r="I11" i="9"/>
  <c r="G11" i="9"/>
  <c r="F11" i="9"/>
  <c r="E11" i="9"/>
  <c r="D11" i="9"/>
  <c r="C11" i="9"/>
  <c r="B11" i="9"/>
  <c r="K10" i="9"/>
  <c r="I10" i="9"/>
  <c r="G10" i="9"/>
  <c r="F10" i="9"/>
  <c r="E10" i="9"/>
  <c r="D10" i="9"/>
  <c r="C10" i="9"/>
  <c r="B10" i="9"/>
  <c r="K9" i="9"/>
  <c r="I9" i="9"/>
  <c r="G9" i="9"/>
  <c r="F9" i="9"/>
  <c r="E9" i="9"/>
  <c r="D9" i="9"/>
  <c r="C9" i="9"/>
  <c r="B9" i="9"/>
  <c r="K8" i="9"/>
  <c r="I8" i="9"/>
  <c r="G8" i="9"/>
  <c r="F8" i="9"/>
  <c r="E8" i="9"/>
  <c r="D8" i="9"/>
  <c r="C8" i="9"/>
  <c r="B8" i="9"/>
  <c r="H8" i="12" l="1"/>
  <c r="H225" i="9"/>
  <c r="J225" i="9" s="1"/>
  <c r="H226" i="9"/>
  <c r="J226" i="9" s="1"/>
  <c r="H228" i="9"/>
  <c r="J228" i="9" s="1"/>
  <c r="H230" i="9"/>
  <c r="J230" i="9" s="1"/>
  <c r="H232" i="9"/>
  <c r="J232" i="9" s="1"/>
  <c r="H252" i="9"/>
  <c r="J252" i="9" s="1"/>
  <c r="H254" i="9"/>
  <c r="J254" i="9" s="1"/>
  <c r="H224" i="9"/>
  <c r="J224" i="9" s="1"/>
  <c r="H8" i="9"/>
  <c r="J8" i="9" s="1"/>
  <c r="H13" i="9"/>
  <c r="J13" i="9" s="1"/>
  <c r="H22" i="9"/>
  <c r="J22" i="9" s="1"/>
  <c r="H10" i="9"/>
  <c r="J10" i="9" s="1"/>
  <c r="H14" i="9"/>
  <c r="J14" i="9" s="1"/>
  <c r="H24" i="9"/>
  <c r="J24" i="9" s="1"/>
  <c r="H26" i="9"/>
  <c r="J26" i="9" s="1"/>
  <c r="H30" i="9"/>
  <c r="J30" i="9" s="1"/>
  <c r="H256" i="9"/>
  <c r="J256" i="9" s="1"/>
  <c r="H23" i="9"/>
  <c r="J23" i="9" s="1"/>
  <c r="H29" i="9"/>
  <c r="J29" i="9" s="1"/>
  <c r="H40" i="9"/>
  <c r="J40" i="9" s="1"/>
  <c r="H42" i="9"/>
  <c r="J42" i="9" s="1"/>
  <c r="H45" i="9"/>
  <c r="J45" i="9" s="1"/>
  <c r="H46" i="9"/>
  <c r="J46" i="9" s="1"/>
  <c r="H54" i="9"/>
  <c r="J54" i="9" s="1"/>
  <c r="H87" i="9"/>
  <c r="J87" i="9" s="1"/>
  <c r="H88" i="9"/>
  <c r="J88" i="9" s="1"/>
  <c r="H90" i="9"/>
  <c r="J90" i="9" s="1"/>
  <c r="H91" i="9"/>
  <c r="J91" i="9" s="1"/>
  <c r="H92" i="9"/>
  <c r="J92" i="9" s="1"/>
  <c r="H94" i="9"/>
  <c r="J94" i="9" s="1"/>
  <c r="H96" i="9"/>
  <c r="J96" i="9" s="1"/>
  <c r="H103" i="9"/>
  <c r="J103" i="9" s="1"/>
  <c r="H104" i="9"/>
  <c r="J104" i="9" s="1"/>
  <c r="H107" i="9"/>
  <c r="J107" i="9" s="1"/>
  <c r="H108" i="9"/>
  <c r="J108" i="9" s="1"/>
  <c r="H110" i="9"/>
  <c r="J110" i="9" s="1"/>
  <c r="H112" i="9"/>
  <c r="J112" i="9" s="1"/>
  <c r="H118" i="9"/>
  <c r="J118" i="9" s="1"/>
  <c r="H151" i="9"/>
  <c r="J151" i="9" s="1"/>
  <c r="H152" i="9"/>
  <c r="J152" i="9" s="1"/>
  <c r="H157" i="9"/>
  <c r="J157" i="9" s="1"/>
  <c r="H158" i="9"/>
  <c r="J158" i="9" s="1"/>
  <c r="H160" i="9"/>
  <c r="J160" i="9" s="1"/>
  <c r="H193" i="9"/>
  <c r="J193" i="9" s="1"/>
  <c r="H194" i="9"/>
  <c r="J194" i="9" s="1"/>
  <c r="H196" i="9"/>
  <c r="J196" i="9" s="1"/>
  <c r="H198" i="9"/>
  <c r="J198" i="9" s="1"/>
  <c r="H200" i="9"/>
  <c r="J200" i="9" s="1"/>
  <c r="H220" i="9"/>
  <c r="J220" i="9" s="1"/>
  <c r="H150" i="9"/>
  <c r="J150" i="9" s="1"/>
  <c r="H119" i="9"/>
  <c r="J119" i="9" s="1"/>
  <c r="H120" i="9"/>
  <c r="J120" i="9" s="1"/>
  <c r="H123" i="9"/>
  <c r="J123" i="9" s="1"/>
  <c r="H124" i="9"/>
  <c r="J124" i="9" s="1"/>
  <c r="H126" i="9"/>
  <c r="J126" i="9" s="1"/>
  <c r="H128" i="9"/>
  <c r="J128" i="9" s="1"/>
  <c r="H135" i="9"/>
  <c r="J135" i="9" s="1"/>
  <c r="H136" i="9"/>
  <c r="J136" i="9" s="1"/>
  <c r="H139" i="9"/>
  <c r="J139" i="9" s="1"/>
  <c r="H140" i="9"/>
  <c r="J140" i="9" s="1"/>
  <c r="H142" i="9"/>
  <c r="J142" i="9" s="1"/>
  <c r="H144" i="9"/>
  <c r="J144" i="9" s="1"/>
  <c r="H258" i="9"/>
  <c r="J258" i="9" s="1"/>
  <c r="H70" i="9"/>
  <c r="J70" i="9" s="1"/>
  <c r="H86" i="9"/>
  <c r="J86" i="9" s="1"/>
  <c r="H20" i="9"/>
  <c r="J20" i="9" s="1"/>
  <c r="H134" i="9"/>
  <c r="J134" i="9" s="1"/>
  <c r="H36" i="9"/>
  <c r="J36" i="9" s="1"/>
  <c r="H38" i="9"/>
  <c r="J38" i="9" s="1"/>
  <c r="H172" i="9"/>
  <c r="J172" i="9" s="1"/>
  <c r="H177" i="9"/>
  <c r="J177" i="9" s="1"/>
  <c r="H179" i="9"/>
  <c r="J179" i="9" s="1"/>
  <c r="H192" i="9"/>
  <c r="J192" i="9" s="1"/>
  <c r="H216" i="9"/>
  <c r="J216" i="9" s="1"/>
  <c r="H248" i="9"/>
  <c r="J248" i="9" s="1"/>
  <c r="H250" i="9"/>
  <c r="J250" i="9" s="1"/>
  <c r="H55" i="9"/>
  <c r="J55" i="9" s="1"/>
  <c r="H56" i="9"/>
  <c r="J56" i="9" s="1"/>
  <c r="H59" i="9"/>
  <c r="H60" i="9"/>
  <c r="J60" i="9" s="1"/>
  <c r="H62" i="9"/>
  <c r="J62" i="9" s="1"/>
  <c r="H64" i="9"/>
  <c r="J64" i="9" s="1"/>
  <c r="H71" i="9"/>
  <c r="J71" i="9" s="1"/>
  <c r="H72" i="9"/>
  <c r="J72" i="9" s="1"/>
  <c r="H75" i="9"/>
  <c r="J75" i="9" s="1"/>
  <c r="H76" i="9"/>
  <c r="J76" i="9" s="1"/>
  <c r="H78" i="9"/>
  <c r="J78" i="9" s="1"/>
  <c r="H80" i="9"/>
  <c r="J80" i="9" s="1"/>
  <c r="H102" i="9"/>
  <c r="J102" i="9" s="1"/>
  <c r="H12" i="9"/>
  <c r="J12" i="9" s="1"/>
  <c r="H32" i="9"/>
  <c r="J32" i="9" s="1"/>
  <c r="H34" i="9"/>
  <c r="J34" i="9" s="1"/>
  <c r="H37" i="9"/>
  <c r="J37" i="9" s="1"/>
  <c r="H44" i="9"/>
  <c r="J44" i="9" s="1"/>
  <c r="J59" i="9"/>
  <c r="H65" i="9"/>
  <c r="J65" i="9" s="1"/>
  <c r="H66" i="9"/>
  <c r="J66" i="9" s="1"/>
  <c r="H68" i="9"/>
  <c r="J68" i="9" s="1"/>
  <c r="H69" i="9"/>
  <c r="J69" i="9" s="1"/>
  <c r="H74" i="9"/>
  <c r="J74" i="9" s="1"/>
  <c r="H97" i="9"/>
  <c r="J97" i="9" s="1"/>
  <c r="H98" i="9"/>
  <c r="J98" i="9" s="1"/>
  <c r="H100" i="9"/>
  <c r="J100" i="9" s="1"/>
  <c r="H106" i="9"/>
  <c r="J106" i="9" s="1"/>
  <c r="H129" i="9"/>
  <c r="J129" i="9" s="1"/>
  <c r="H130" i="9"/>
  <c r="J130" i="9" s="1"/>
  <c r="H132" i="9"/>
  <c r="J132" i="9" s="1"/>
  <c r="H133" i="9"/>
  <c r="J133" i="9" s="1"/>
  <c r="H138" i="9"/>
  <c r="J138" i="9" s="1"/>
  <c r="H161" i="9"/>
  <c r="J161" i="9" s="1"/>
  <c r="H162" i="9"/>
  <c r="J162" i="9" s="1"/>
  <c r="H164" i="9"/>
  <c r="J164" i="9" s="1"/>
  <c r="H168" i="9"/>
  <c r="J168" i="9" s="1"/>
  <c r="H173" i="9"/>
  <c r="J173" i="9" s="1"/>
  <c r="H174" i="9"/>
  <c r="J174" i="9" s="1"/>
  <c r="H176" i="9"/>
  <c r="J176" i="9" s="1"/>
  <c r="H184" i="9"/>
  <c r="J184" i="9" s="1"/>
  <c r="H233" i="9"/>
  <c r="J233" i="9" s="1"/>
  <c r="H234" i="9"/>
  <c r="J234" i="9" s="1"/>
  <c r="H236" i="9"/>
  <c r="J236" i="9" s="1"/>
  <c r="H238" i="9"/>
  <c r="J238" i="9" s="1"/>
  <c r="H240" i="9"/>
  <c r="J240" i="9" s="1"/>
  <c r="H249" i="9"/>
  <c r="J249" i="9" s="1"/>
  <c r="H260" i="9"/>
  <c r="J260" i="9" s="1"/>
  <c r="H15" i="9"/>
  <c r="J15" i="9" s="1"/>
  <c r="H16" i="9"/>
  <c r="J16" i="9" s="1"/>
  <c r="H18" i="9"/>
  <c r="J18" i="9" s="1"/>
  <c r="H21" i="9"/>
  <c r="J21" i="9" s="1"/>
  <c r="H28" i="9"/>
  <c r="J28" i="9" s="1"/>
  <c r="H48" i="9"/>
  <c r="J48" i="9" s="1"/>
  <c r="H50" i="9"/>
  <c r="J50" i="9" s="1"/>
  <c r="H52" i="9"/>
  <c r="J52" i="9" s="1"/>
  <c r="H53" i="9"/>
  <c r="J53" i="9" s="1"/>
  <c r="H58" i="9"/>
  <c r="J58" i="9" s="1"/>
  <c r="H81" i="9"/>
  <c r="J81" i="9" s="1"/>
  <c r="H82" i="9"/>
  <c r="J82" i="9" s="1"/>
  <c r="H84" i="9"/>
  <c r="J84" i="9" s="1"/>
  <c r="H113" i="9"/>
  <c r="J113" i="9" s="1"/>
  <c r="H114" i="9"/>
  <c r="J114" i="9" s="1"/>
  <c r="H116" i="9"/>
  <c r="J116" i="9" s="1"/>
  <c r="H117" i="9"/>
  <c r="J117" i="9" s="1"/>
  <c r="H122" i="9"/>
  <c r="J122" i="9" s="1"/>
  <c r="H145" i="9"/>
  <c r="J145" i="9" s="1"/>
  <c r="H146" i="9"/>
  <c r="J146" i="9" s="1"/>
  <c r="H148" i="9"/>
  <c r="J148" i="9" s="1"/>
  <c r="H156" i="9"/>
  <c r="J156" i="9" s="1"/>
  <c r="H201" i="9"/>
  <c r="J201" i="9" s="1"/>
  <c r="H202" i="9"/>
  <c r="J202" i="9" s="1"/>
  <c r="H204" i="9"/>
  <c r="J204" i="9" s="1"/>
  <c r="H206" i="9"/>
  <c r="J206" i="9" s="1"/>
  <c r="H208" i="9"/>
  <c r="J208" i="9" s="1"/>
  <c r="H217" i="9"/>
  <c r="J217" i="9" s="1"/>
  <c r="H218" i="9"/>
  <c r="J218" i="9" s="1"/>
  <c r="H222" i="9"/>
  <c r="J222" i="9" s="1"/>
  <c r="H9" i="9"/>
  <c r="J9" i="9" s="1"/>
  <c r="H17" i="9"/>
  <c r="J17" i="9" s="1"/>
  <c r="H25" i="9"/>
  <c r="J25" i="9" s="1"/>
  <c r="H33" i="9"/>
  <c r="J33" i="9" s="1"/>
  <c r="H41" i="9"/>
  <c r="J41" i="9" s="1"/>
  <c r="H49" i="9"/>
  <c r="J49" i="9" s="1"/>
  <c r="H61" i="9"/>
  <c r="J61" i="9" s="1"/>
  <c r="H67" i="9"/>
  <c r="J67" i="9" s="1"/>
  <c r="H77" i="9"/>
  <c r="J77" i="9" s="1"/>
  <c r="H83" i="9"/>
  <c r="J83" i="9" s="1"/>
  <c r="H93" i="9"/>
  <c r="J93" i="9" s="1"/>
  <c r="H99" i="9"/>
  <c r="J99" i="9" s="1"/>
  <c r="H109" i="9"/>
  <c r="J109" i="9" s="1"/>
  <c r="H115" i="9"/>
  <c r="J115" i="9" s="1"/>
  <c r="H125" i="9"/>
  <c r="J125" i="9" s="1"/>
  <c r="H131" i="9"/>
  <c r="J131" i="9" s="1"/>
  <c r="H141" i="9"/>
  <c r="J141" i="9" s="1"/>
  <c r="H147" i="9"/>
  <c r="J147" i="9" s="1"/>
  <c r="H165" i="9"/>
  <c r="J165" i="9" s="1"/>
  <c r="H166" i="9"/>
  <c r="J166" i="9" s="1"/>
  <c r="H178" i="9"/>
  <c r="J178" i="9" s="1"/>
  <c r="H180" i="9"/>
  <c r="J180" i="9" s="1"/>
  <c r="H182" i="9"/>
  <c r="J182" i="9" s="1"/>
  <c r="H209" i="9"/>
  <c r="J209" i="9" s="1"/>
  <c r="H210" i="9"/>
  <c r="J210" i="9" s="1"/>
  <c r="H212" i="9"/>
  <c r="J212" i="9" s="1"/>
  <c r="H214" i="9"/>
  <c r="J214" i="9" s="1"/>
  <c r="H241" i="9"/>
  <c r="J241" i="9" s="1"/>
  <c r="H242" i="9"/>
  <c r="J242" i="9" s="1"/>
  <c r="H244" i="9"/>
  <c r="J244" i="9" s="1"/>
  <c r="H246" i="9"/>
  <c r="J246" i="9" s="1"/>
  <c r="H255" i="9"/>
  <c r="J255" i="9" s="1"/>
  <c r="H11" i="9"/>
  <c r="J11" i="9" s="1"/>
  <c r="H19" i="9"/>
  <c r="J19" i="9" s="1"/>
  <c r="H27" i="9"/>
  <c r="J27" i="9" s="1"/>
  <c r="H57" i="9"/>
  <c r="J57" i="9" s="1"/>
  <c r="H63" i="9"/>
  <c r="J63" i="9" s="1"/>
  <c r="H73" i="9"/>
  <c r="J73" i="9" s="1"/>
  <c r="H79" i="9"/>
  <c r="J79" i="9" s="1"/>
  <c r="H89" i="9"/>
  <c r="J89" i="9" s="1"/>
  <c r="H95" i="9"/>
  <c r="J95" i="9" s="1"/>
  <c r="H105" i="9"/>
  <c r="J105" i="9" s="1"/>
  <c r="H111" i="9"/>
  <c r="J111" i="9" s="1"/>
  <c r="H121" i="9"/>
  <c r="J121" i="9" s="1"/>
  <c r="H127" i="9"/>
  <c r="J127" i="9" s="1"/>
  <c r="H137" i="9"/>
  <c r="J137" i="9" s="1"/>
  <c r="H143" i="9"/>
  <c r="J143" i="9" s="1"/>
  <c r="H153" i="9"/>
  <c r="J153" i="9" s="1"/>
  <c r="H154" i="9"/>
  <c r="J154" i="9" s="1"/>
  <c r="H169" i="9"/>
  <c r="J169" i="9" s="1"/>
  <c r="H170" i="9"/>
  <c r="J170" i="9" s="1"/>
  <c r="H175" i="9"/>
  <c r="J175" i="9" s="1"/>
  <c r="H185" i="9"/>
  <c r="J185" i="9" s="1"/>
  <c r="H186" i="9"/>
  <c r="J186" i="9" s="1"/>
  <c r="H188" i="9"/>
  <c r="J188" i="9" s="1"/>
  <c r="H190" i="9"/>
  <c r="J190" i="9" s="1"/>
  <c r="H85" i="9"/>
  <c r="J85" i="9" s="1"/>
  <c r="H101" i="9"/>
  <c r="J101" i="9" s="1"/>
  <c r="H149" i="9"/>
  <c r="J149" i="9" s="1"/>
  <c r="H31" i="9"/>
  <c r="J31" i="9" s="1"/>
  <c r="H35" i="9"/>
  <c r="J35" i="9" s="1"/>
  <c r="H39" i="9"/>
  <c r="J39" i="9" s="1"/>
  <c r="H43" i="9"/>
  <c r="J43" i="9" s="1"/>
  <c r="H47" i="9"/>
  <c r="J47" i="9" s="1"/>
  <c r="H51" i="9"/>
  <c r="J51" i="9" s="1"/>
  <c r="H155" i="9"/>
  <c r="J155" i="9" s="1"/>
  <c r="H159" i="9"/>
  <c r="J159" i="9" s="1"/>
  <c r="H163" i="9"/>
  <c r="J163" i="9" s="1"/>
  <c r="H167" i="9"/>
  <c r="J167" i="9" s="1"/>
  <c r="H171" i="9"/>
  <c r="J171" i="9" s="1"/>
  <c r="H181" i="9"/>
  <c r="J181" i="9" s="1"/>
  <c r="H189" i="9"/>
  <c r="J189" i="9" s="1"/>
  <c r="H197" i="9"/>
  <c r="J197" i="9" s="1"/>
  <c r="H205" i="9"/>
  <c r="J205" i="9" s="1"/>
  <c r="H213" i="9"/>
  <c r="J213" i="9" s="1"/>
  <c r="H221" i="9"/>
  <c r="J221" i="9" s="1"/>
  <c r="H229" i="9"/>
  <c r="J229" i="9" s="1"/>
  <c r="H237" i="9"/>
  <c r="J237" i="9" s="1"/>
  <c r="H245" i="9"/>
  <c r="J245" i="9" s="1"/>
  <c r="H257" i="9"/>
  <c r="J257" i="9" s="1"/>
  <c r="H253" i="9"/>
  <c r="J253" i="9" s="1"/>
  <c r="H183" i="9"/>
  <c r="J183" i="9" s="1"/>
  <c r="H187" i="9"/>
  <c r="J187" i="9" s="1"/>
  <c r="H191" i="9"/>
  <c r="J191" i="9" s="1"/>
  <c r="H195" i="9"/>
  <c r="J195" i="9" s="1"/>
  <c r="H199" i="9"/>
  <c r="J199" i="9" s="1"/>
  <c r="H203" i="9"/>
  <c r="J203" i="9" s="1"/>
  <c r="H207" i="9"/>
  <c r="J207" i="9" s="1"/>
  <c r="H211" i="9"/>
  <c r="J211" i="9" s="1"/>
  <c r="H215" i="9"/>
  <c r="J215" i="9" s="1"/>
  <c r="H219" i="9"/>
  <c r="J219" i="9" s="1"/>
  <c r="H223" i="9"/>
  <c r="J223" i="9" s="1"/>
  <c r="H227" i="9"/>
  <c r="J227" i="9" s="1"/>
  <c r="H231" i="9"/>
  <c r="J231" i="9" s="1"/>
  <c r="H235" i="9"/>
  <c r="J235" i="9" s="1"/>
  <c r="H239" i="9"/>
  <c r="J239" i="9" s="1"/>
  <c r="H243" i="9"/>
  <c r="J243" i="9" s="1"/>
  <c r="H247" i="9"/>
  <c r="J247" i="9" s="1"/>
  <c r="H251" i="9"/>
  <c r="J251" i="9" s="1"/>
  <c r="H259" i="9"/>
  <c r="J259" i="9" s="1"/>
</calcChain>
</file>

<file path=xl/sharedStrings.xml><?xml version="1.0" encoding="utf-8"?>
<sst xmlns="http://schemas.openxmlformats.org/spreadsheetml/2006/main" count="4171" uniqueCount="892">
  <si>
    <t>ID</t>
  </si>
  <si>
    <t>PLACA</t>
  </si>
  <si>
    <t>CHEGADA</t>
  </si>
  <si>
    <t>VAGA</t>
  </si>
  <si>
    <t>SITUAÇÃO</t>
  </si>
  <si>
    <t>TAMANHO</t>
  </si>
  <si>
    <t>VALOR</t>
  </si>
  <si>
    <t>CARRO GRANDE</t>
  </si>
  <si>
    <t>CARRO MÉDIO</t>
  </si>
  <si>
    <t>CARRO PEQUENO</t>
  </si>
  <si>
    <t>MOTO</t>
  </si>
  <si>
    <t>VAGAS OCUPADAS</t>
  </si>
  <si>
    <t>VAGAS DISPONÍVEIS</t>
  </si>
  <si>
    <t>TOTAL DE VAGAS</t>
  </si>
  <si>
    <t>SAÍDA</t>
  </si>
  <si>
    <t>DURAÇÃO</t>
  </si>
  <si>
    <t>DATA</t>
  </si>
  <si>
    <t>A1</t>
  </si>
  <si>
    <t>LIVRE</t>
  </si>
  <si>
    <t>PAGAMENTO</t>
  </si>
  <si>
    <t>Cartão</t>
  </si>
  <si>
    <t>PJGJ-4651</t>
  </si>
  <si>
    <t>08:26</t>
  </si>
  <si>
    <t>13:39</t>
  </si>
  <si>
    <t>A3</t>
  </si>
  <si>
    <t>QIBR-4780</t>
  </si>
  <si>
    <t>09:18</t>
  </si>
  <si>
    <t>15:25</t>
  </si>
  <si>
    <t>XLVY-7611</t>
  </si>
  <si>
    <t>11:25</t>
  </si>
  <si>
    <t>13:28</t>
  </si>
  <si>
    <t>Dinheiro</t>
  </si>
  <si>
    <t>RZGB-3212</t>
  </si>
  <si>
    <t>07:22</t>
  </si>
  <si>
    <t>13:57</t>
  </si>
  <si>
    <t>A5</t>
  </si>
  <si>
    <t>DGBS-5155</t>
  </si>
  <si>
    <t>11:11</t>
  </si>
  <si>
    <t>13:11</t>
  </si>
  <si>
    <t>GNYP-7772</t>
  </si>
  <si>
    <t>11:02</t>
  </si>
  <si>
    <t>12:01</t>
  </si>
  <si>
    <t>A2</t>
  </si>
  <si>
    <t>AVGT-9191</t>
  </si>
  <si>
    <t>07:11</t>
  </si>
  <si>
    <t>12:52</t>
  </si>
  <si>
    <t>B2</t>
  </si>
  <si>
    <t>JAGX-2990</t>
  </si>
  <si>
    <t>10:57</t>
  </si>
  <si>
    <t>C1</t>
  </si>
  <si>
    <t>JAOF-6805</t>
  </si>
  <si>
    <t>07:55</t>
  </si>
  <si>
    <t>15:38</t>
  </si>
  <si>
    <t>C4</t>
  </si>
  <si>
    <t>FDOL-3367</t>
  </si>
  <si>
    <t>08:50</t>
  </si>
  <si>
    <t>14:04</t>
  </si>
  <si>
    <t>B1</t>
  </si>
  <si>
    <t>GMZT-9571</t>
  </si>
  <si>
    <t>11:12</t>
  </si>
  <si>
    <t>12:35</t>
  </si>
  <si>
    <t>PWXO-1907</t>
  </si>
  <si>
    <t>07:28</t>
  </si>
  <si>
    <t>12:03</t>
  </si>
  <si>
    <t>B3</t>
  </si>
  <si>
    <t>GLTW-7469</t>
  </si>
  <si>
    <t>10:30</t>
  </si>
  <si>
    <t>13:02</t>
  </si>
  <si>
    <t>FLTW-4423</t>
  </si>
  <si>
    <t>07:38</t>
  </si>
  <si>
    <t>14:02</t>
  </si>
  <si>
    <t>PJQH-2126</t>
  </si>
  <si>
    <t>10:18</t>
  </si>
  <si>
    <t>15:56</t>
  </si>
  <si>
    <t>VMSP-5939</t>
  </si>
  <si>
    <t>09:17</t>
  </si>
  <si>
    <t>12:40</t>
  </si>
  <si>
    <t>A4</t>
  </si>
  <si>
    <t>NNAA-8775</t>
  </si>
  <si>
    <t>10:36</t>
  </si>
  <si>
    <t>15:48</t>
  </si>
  <si>
    <t>ISIU-7885</t>
  </si>
  <si>
    <t>07:35</t>
  </si>
  <si>
    <t>14:36</t>
  </si>
  <si>
    <t>NCGO-4754</t>
  </si>
  <si>
    <t>10:42</t>
  </si>
  <si>
    <t>15:06</t>
  </si>
  <si>
    <t>ZIPW-7318</t>
  </si>
  <si>
    <t>09:58</t>
  </si>
  <si>
    <t>12:38</t>
  </si>
  <si>
    <t>C5</t>
  </si>
  <si>
    <t>ENRP-8444</t>
  </si>
  <si>
    <t>10:38</t>
  </si>
  <si>
    <t>WUBV-3663</t>
  </si>
  <si>
    <t>07:19</t>
  </si>
  <si>
    <t>15:08</t>
  </si>
  <si>
    <t>B4</t>
  </si>
  <si>
    <t>YVYG-3353</t>
  </si>
  <si>
    <t>08:56</t>
  </si>
  <si>
    <t>15:05</t>
  </si>
  <si>
    <t>GJKB-9335</t>
  </si>
  <si>
    <t>07:23</t>
  </si>
  <si>
    <t>13:04</t>
  </si>
  <si>
    <t>WGZF-2643</t>
  </si>
  <si>
    <t>10:28</t>
  </si>
  <si>
    <t>14:42</t>
  </si>
  <si>
    <t>C3</t>
  </si>
  <si>
    <t>KXYS-2855</t>
  </si>
  <si>
    <t>09:51</t>
  </si>
  <si>
    <t>12:45</t>
  </si>
  <si>
    <t>CPGL-6791</t>
  </si>
  <si>
    <t>10:11</t>
  </si>
  <si>
    <t>12:12</t>
  </si>
  <si>
    <t>HEQA-4422</t>
  </si>
  <si>
    <t>10:22</t>
  </si>
  <si>
    <t>14:50</t>
  </si>
  <si>
    <t>NCIY-6914</t>
  </si>
  <si>
    <t>B5</t>
  </si>
  <si>
    <t>UJIP-9149</t>
  </si>
  <si>
    <t>07:52</t>
  </si>
  <si>
    <t>15:53</t>
  </si>
  <si>
    <t>UJTF-4191</t>
  </si>
  <si>
    <t>10:53</t>
  </si>
  <si>
    <t>15:54</t>
  </si>
  <si>
    <t>SRAQ-1664</t>
  </si>
  <si>
    <t>07:01</t>
  </si>
  <si>
    <t>13:03</t>
  </si>
  <si>
    <t>CPFU-9901</t>
  </si>
  <si>
    <t>12:19</t>
  </si>
  <si>
    <t>TZEU-4091</t>
  </si>
  <si>
    <t>14:41</t>
  </si>
  <si>
    <t>ZDVL-8326</t>
  </si>
  <si>
    <t>08:36</t>
  </si>
  <si>
    <t>12:02</t>
  </si>
  <si>
    <t>C2</t>
  </si>
  <si>
    <t>EBDD-6807</t>
  </si>
  <si>
    <t>11:03</t>
  </si>
  <si>
    <t>12:59</t>
  </si>
  <si>
    <t>KAZZ-2778</t>
  </si>
  <si>
    <t>08:47</t>
  </si>
  <si>
    <t>12:47</t>
  </si>
  <si>
    <t>FVXO-8867</t>
  </si>
  <si>
    <t>10:56</t>
  </si>
  <si>
    <t>FFYT-2757</t>
  </si>
  <si>
    <t>11:50</t>
  </si>
  <si>
    <t>13:52</t>
  </si>
  <si>
    <t>YXME-4112</t>
  </si>
  <si>
    <t>08:23</t>
  </si>
  <si>
    <t>14:45</t>
  </si>
  <si>
    <t>GNSV-4874</t>
  </si>
  <si>
    <t>09:41</t>
  </si>
  <si>
    <t>12:36</t>
  </si>
  <si>
    <t>GYVU-3537</t>
  </si>
  <si>
    <t>07:30</t>
  </si>
  <si>
    <t>14:48</t>
  </si>
  <si>
    <t>FPGO-5613</t>
  </si>
  <si>
    <t>08:37</t>
  </si>
  <si>
    <t>15:37</t>
  </si>
  <si>
    <t>WANM-5705</t>
  </si>
  <si>
    <t>09:56</t>
  </si>
  <si>
    <t>15:01</t>
  </si>
  <si>
    <t>JNYL-3531</t>
  </si>
  <si>
    <t>10:39</t>
  </si>
  <si>
    <t>14:57</t>
  </si>
  <si>
    <t>MLDR-5398</t>
  </si>
  <si>
    <t>11:39</t>
  </si>
  <si>
    <t>12:20</t>
  </si>
  <si>
    <t>QOKR-4395</t>
  </si>
  <si>
    <t>11:59</t>
  </si>
  <si>
    <t>12:21</t>
  </si>
  <si>
    <t>LSVJ-3379</t>
  </si>
  <si>
    <t>10:54</t>
  </si>
  <si>
    <t>STXA-1802</t>
  </si>
  <si>
    <t>10:14</t>
  </si>
  <si>
    <t>13:41</t>
  </si>
  <si>
    <t>GWEC-8591</t>
  </si>
  <si>
    <t>13:58</t>
  </si>
  <si>
    <t>SISR-6826</t>
  </si>
  <si>
    <t>14:46</t>
  </si>
  <si>
    <t>QOUE-5449</t>
  </si>
  <si>
    <t>11:55</t>
  </si>
  <si>
    <t>13:42</t>
  </si>
  <si>
    <t>BYQN-2840</t>
  </si>
  <si>
    <t>10:49</t>
  </si>
  <si>
    <t>KNAP-9097</t>
  </si>
  <si>
    <t>13:59</t>
  </si>
  <si>
    <t>RZRY-5545</t>
  </si>
  <si>
    <t>13:16</t>
  </si>
  <si>
    <t>WQVM-9610</t>
  </si>
  <si>
    <t>11:44</t>
  </si>
  <si>
    <t>14:49</t>
  </si>
  <si>
    <t>CSZH-5851</t>
  </si>
  <si>
    <t>11:35</t>
  </si>
  <si>
    <t>15:29</t>
  </si>
  <si>
    <t>IJWY-4629</t>
  </si>
  <si>
    <t>11:34</t>
  </si>
  <si>
    <t>14:19</t>
  </si>
  <si>
    <t>OXJW-4462</t>
  </si>
  <si>
    <t>08:20</t>
  </si>
  <si>
    <t>12:23</t>
  </si>
  <si>
    <t>LEPB-2358</t>
  </si>
  <si>
    <t>13:46</t>
  </si>
  <si>
    <t>KREF-7562</t>
  </si>
  <si>
    <t>09:03</t>
  </si>
  <si>
    <t>15:22</t>
  </si>
  <si>
    <t>YYVT-7124</t>
  </si>
  <si>
    <t>13:08</t>
  </si>
  <si>
    <t>FLLL-2915</t>
  </si>
  <si>
    <t>08:06</t>
  </si>
  <si>
    <t>13:25</t>
  </si>
  <si>
    <t>WJSP-2992</t>
  </si>
  <si>
    <t>09:19</t>
  </si>
  <si>
    <t>13:13</t>
  </si>
  <si>
    <t>BPEU-4481</t>
  </si>
  <si>
    <t>07:10</t>
  </si>
  <si>
    <t>12:15</t>
  </si>
  <si>
    <t>WFZC-8676</t>
  </si>
  <si>
    <t>15:43</t>
  </si>
  <si>
    <t>ZTJR-6108</t>
  </si>
  <si>
    <t>11:28</t>
  </si>
  <si>
    <t>ECTJ-5314</t>
  </si>
  <si>
    <t>09:43</t>
  </si>
  <si>
    <t>15:11</t>
  </si>
  <si>
    <t>SGFE-4171</t>
  </si>
  <si>
    <t>10:01</t>
  </si>
  <si>
    <t>EEYG-8166</t>
  </si>
  <si>
    <t>08:19</t>
  </si>
  <si>
    <t>14:52</t>
  </si>
  <si>
    <t>UDFY-7086</t>
  </si>
  <si>
    <t>07:59</t>
  </si>
  <si>
    <t>15:19</t>
  </si>
  <si>
    <t>ROMD-1354</t>
  </si>
  <si>
    <t>15:45</t>
  </si>
  <si>
    <t>GAJQ-2934</t>
  </si>
  <si>
    <t>14:12</t>
  </si>
  <si>
    <t>DGTW-2696</t>
  </si>
  <si>
    <t>11:20</t>
  </si>
  <si>
    <t>YGDH-7192</t>
  </si>
  <si>
    <t>08:34</t>
  </si>
  <si>
    <t>PJJE-8561</t>
  </si>
  <si>
    <t>10:23</t>
  </si>
  <si>
    <t>13:30</t>
  </si>
  <si>
    <t>CZCB-9526</t>
  </si>
  <si>
    <t>09:23</t>
  </si>
  <si>
    <t>13:18</t>
  </si>
  <si>
    <t>FRTT-4049</t>
  </si>
  <si>
    <t>FWCT-3744</t>
  </si>
  <si>
    <t>11:57</t>
  </si>
  <si>
    <t>YXOW-3085</t>
  </si>
  <si>
    <t>09:24</t>
  </si>
  <si>
    <t>12:34</t>
  </si>
  <si>
    <t>KDOY-7419</t>
  </si>
  <si>
    <t>08:42</t>
  </si>
  <si>
    <t>15:57</t>
  </si>
  <si>
    <t>FHUW-1761</t>
  </si>
  <si>
    <t>DELS-5569</t>
  </si>
  <si>
    <t>11:30</t>
  </si>
  <si>
    <t>15:14</t>
  </si>
  <si>
    <t>PBCI-3665</t>
  </si>
  <si>
    <t>07:05</t>
  </si>
  <si>
    <t>15:27</t>
  </si>
  <si>
    <t>JNGA-4518</t>
  </si>
  <si>
    <t>08:14</t>
  </si>
  <si>
    <t>NYZN-1684</t>
  </si>
  <si>
    <t>11:10</t>
  </si>
  <si>
    <t>13:12</t>
  </si>
  <si>
    <t>FHQO-3938</t>
  </si>
  <si>
    <t>07:04</t>
  </si>
  <si>
    <t>BRVP-6975</t>
  </si>
  <si>
    <t>07:18</t>
  </si>
  <si>
    <t>12:54</t>
  </si>
  <si>
    <t>OZCV-8247</t>
  </si>
  <si>
    <t>07:06</t>
  </si>
  <si>
    <t>IAHR-2478</t>
  </si>
  <si>
    <t>09:10</t>
  </si>
  <si>
    <t>13:15</t>
  </si>
  <si>
    <t>DYOS-7995</t>
  </si>
  <si>
    <t>10:41</t>
  </si>
  <si>
    <t>ZERA-1380</t>
  </si>
  <si>
    <t>12:28</t>
  </si>
  <si>
    <t>MAGN-4777</t>
  </si>
  <si>
    <t>09:50</t>
  </si>
  <si>
    <t>14:34</t>
  </si>
  <si>
    <t>NVHH-3449</t>
  </si>
  <si>
    <t>11:08</t>
  </si>
  <si>
    <t>15:50</t>
  </si>
  <si>
    <t>TWVM-7694</t>
  </si>
  <si>
    <t>08:08</t>
  </si>
  <si>
    <t>CDVH-8779</t>
  </si>
  <si>
    <t>08:29</t>
  </si>
  <si>
    <t>12:44</t>
  </si>
  <si>
    <t>LVGC-6056</t>
  </si>
  <si>
    <t>11:56</t>
  </si>
  <si>
    <t>12:55</t>
  </si>
  <si>
    <t>TOEH-2058</t>
  </si>
  <si>
    <t>07:44</t>
  </si>
  <si>
    <t>13:43</t>
  </si>
  <si>
    <t>DJIJ-5725</t>
  </si>
  <si>
    <t>08:21</t>
  </si>
  <si>
    <t>14:07</t>
  </si>
  <si>
    <t>AEOM-8936</t>
  </si>
  <si>
    <t>09:20</t>
  </si>
  <si>
    <t>13:50</t>
  </si>
  <si>
    <t>DVBJ-4793</t>
  </si>
  <si>
    <t>MYOL-2828</t>
  </si>
  <si>
    <t>08:57</t>
  </si>
  <si>
    <t>15:17</t>
  </si>
  <si>
    <t>UYCV-3186</t>
  </si>
  <si>
    <t>KTLL-8720</t>
  </si>
  <si>
    <t>07:37</t>
  </si>
  <si>
    <t>15:52</t>
  </si>
  <si>
    <t>VKXT-5790</t>
  </si>
  <si>
    <t>14:54</t>
  </si>
  <si>
    <t>QVIU-3089</t>
  </si>
  <si>
    <t>14:55</t>
  </si>
  <si>
    <t>LQZT-7953</t>
  </si>
  <si>
    <t>10:17</t>
  </si>
  <si>
    <t>YBMC-8796</t>
  </si>
  <si>
    <t>10:45</t>
  </si>
  <si>
    <t>QBER-2592</t>
  </si>
  <si>
    <t>14:27</t>
  </si>
  <si>
    <t>VPNU-2843</t>
  </si>
  <si>
    <t>12:24</t>
  </si>
  <si>
    <t>LOXV-1311</t>
  </si>
  <si>
    <t>09:34</t>
  </si>
  <si>
    <t>ONEC-1152</t>
  </si>
  <si>
    <t>09:48</t>
  </si>
  <si>
    <t>WIMS-5524</t>
  </si>
  <si>
    <t>DTTQ-9250</t>
  </si>
  <si>
    <t>09:04</t>
  </si>
  <si>
    <t>14:25</t>
  </si>
  <si>
    <t>WTIG-2312</t>
  </si>
  <si>
    <t>08:40</t>
  </si>
  <si>
    <t>15:55</t>
  </si>
  <si>
    <t>ISCT-5188</t>
  </si>
  <si>
    <t>09:08</t>
  </si>
  <si>
    <t>IXPN-2425</t>
  </si>
  <si>
    <t>10:52</t>
  </si>
  <si>
    <t>NDMJ-1373</t>
  </si>
  <si>
    <t>09:27</t>
  </si>
  <si>
    <t>13:33</t>
  </si>
  <si>
    <t>GVRA-1374</t>
  </si>
  <si>
    <t>08:25</t>
  </si>
  <si>
    <t>WYOH-8733</t>
  </si>
  <si>
    <t>13:56</t>
  </si>
  <si>
    <t>XFFM-7909</t>
  </si>
  <si>
    <t>11:19</t>
  </si>
  <si>
    <t>15:09</t>
  </si>
  <si>
    <t>ZVET-4204</t>
  </si>
  <si>
    <t>07:03</t>
  </si>
  <si>
    <t>14:40</t>
  </si>
  <si>
    <t>GLNG-3030</t>
  </si>
  <si>
    <t>09:02</t>
  </si>
  <si>
    <t>KRHY-3716</t>
  </si>
  <si>
    <t>14:30</t>
  </si>
  <si>
    <t>RIVS-7295</t>
  </si>
  <si>
    <t>08:27</t>
  </si>
  <si>
    <t>15:12</t>
  </si>
  <si>
    <t>QMGS-3693</t>
  </si>
  <si>
    <t>NVJF-9090</t>
  </si>
  <si>
    <t>10:06</t>
  </si>
  <si>
    <t>BURL-1862</t>
  </si>
  <si>
    <t>09:21</t>
  </si>
  <si>
    <t>13:07</t>
  </si>
  <si>
    <t>ENSN-2818</t>
  </si>
  <si>
    <t>08:35</t>
  </si>
  <si>
    <t>OMXN-7139</t>
  </si>
  <si>
    <t>15:13</t>
  </si>
  <si>
    <t>JPTB-2959</t>
  </si>
  <si>
    <t>11:06</t>
  </si>
  <si>
    <t>GFAE-8058</t>
  </si>
  <si>
    <t>15:18</t>
  </si>
  <si>
    <t>UOCP-8815</t>
  </si>
  <si>
    <t>14:38</t>
  </si>
  <si>
    <t>TPEY-5728</t>
  </si>
  <si>
    <t>08:01</t>
  </si>
  <si>
    <t>SLPL-1327</t>
  </si>
  <si>
    <t>09:25</t>
  </si>
  <si>
    <t>LFRF-2973</t>
  </si>
  <si>
    <t>13:44</t>
  </si>
  <si>
    <t>BCAV-4216</t>
  </si>
  <si>
    <t>09:52</t>
  </si>
  <si>
    <t>KVGS-6297</t>
  </si>
  <si>
    <t>15:49</t>
  </si>
  <si>
    <t>WJSH-7110</t>
  </si>
  <si>
    <t>09:37</t>
  </si>
  <si>
    <t>14:15</t>
  </si>
  <si>
    <t>AKIP-9314</t>
  </si>
  <si>
    <t>12:58</t>
  </si>
  <si>
    <t>JQSE-8937</t>
  </si>
  <si>
    <t>JTTQ-8451</t>
  </si>
  <si>
    <t>SRDC-8347</t>
  </si>
  <si>
    <t>09:15</t>
  </si>
  <si>
    <t>12:30</t>
  </si>
  <si>
    <t>JTZE-8414</t>
  </si>
  <si>
    <t>14:32</t>
  </si>
  <si>
    <t>XMWV-6668</t>
  </si>
  <si>
    <t>15:24</t>
  </si>
  <si>
    <t>ZYGM-6600</t>
  </si>
  <si>
    <t>OCDE-3362</t>
  </si>
  <si>
    <t>14:13</t>
  </si>
  <si>
    <t>THGB-6659</t>
  </si>
  <si>
    <t>15:58</t>
  </si>
  <si>
    <t>GBUB-1909</t>
  </si>
  <si>
    <t>09:39</t>
  </si>
  <si>
    <t>13:14</t>
  </si>
  <si>
    <t>JJQM-4981</t>
  </si>
  <si>
    <t>12:57</t>
  </si>
  <si>
    <t>GDTF-5928</t>
  </si>
  <si>
    <t>14:26</t>
  </si>
  <si>
    <t>PYMP-6056</t>
  </si>
  <si>
    <t>10:50</t>
  </si>
  <si>
    <t>15:39</t>
  </si>
  <si>
    <t>JBWA-1223</t>
  </si>
  <si>
    <t>09:29</t>
  </si>
  <si>
    <t>AILA-3528</t>
  </si>
  <si>
    <t>EEQG-6181</t>
  </si>
  <si>
    <t>BCVB-5078</t>
  </si>
  <si>
    <t>10:05</t>
  </si>
  <si>
    <t>12:42</t>
  </si>
  <si>
    <t>TVVS-5808</t>
  </si>
  <si>
    <t>11:16</t>
  </si>
  <si>
    <t>PTWA-5848</t>
  </si>
  <si>
    <t>08:13</t>
  </si>
  <si>
    <t>ZKIG-2914</t>
  </si>
  <si>
    <t>10:47</t>
  </si>
  <si>
    <t>VRVG-8108</t>
  </si>
  <si>
    <t>11:17</t>
  </si>
  <si>
    <t>LJME-6852</t>
  </si>
  <si>
    <t>08:53</t>
  </si>
  <si>
    <t>SAXB-8235</t>
  </si>
  <si>
    <t>08:07</t>
  </si>
  <si>
    <t>15:44</t>
  </si>
  <si>
    <t>MOSL-9554</t>
  </si>
  <si>
    <t>11:49</t>
  </si>
  <si>
    <t>14:01</t>
  </si>
  <si>
    <t>MCDX-8298</t>
  </si>
  <si>
    <t>08:58</t>
  </si>
  <si>
    <t>QVSQ-1341</t>
  </si>
  <si>
    <t>10:15</t>
  </si>
  <si>
    <t>12:27</t>
  </si>
  <si>
    <t>FHOY-7462</t>
  </si>
  <si>
    <t>08:33</t>
  </si>
  <si>
    <t>13:36</t>
  </si>
  <si>
    <t>GMMZ-5940</t>
  </si>
  <si>
    <t>14:29</t>
  </si>
  <si>
    <t>EGTZ-8807</t>
  </si>
  <si>
    <t>07:56</t>
  </si>
  <si>
    <t>OQEA-8020</t>
  </si>
  <si>
    <t>07:13</t>
  </si>
  <si>
    <t>BGRY-5808</t>
  </si>
  <si>
    <t>08:44</t>
  </si>
  <si>
    <t>PJGL-7068</t>
  </si>
  <si>
    <t>KMAS-1704</t>
  </si>
  <si>
    <t>09:36</t>
  </si>
  <si>
    <t>UMWE-2904</t>
  </si>
  <si>
    <t>11:21</t>
  </si>
  <si>
    <t>GWAH-8406</t>
  </si>
  <si>
    <t>10:16</t>
  </si>
  <si>
    <t>13:34</t>
  </si>
  <si>
    <t>WRST-8480</t>
  </si>
  <si>
    <t>13:32</t>
  </si>
  <si>
    <t>ERMM-3519</t>
  </si>
  <si>
    <t>13:29</t>
  </si>
  <si>
    <t>DIZK-5298</t>
  </si>
  <si>
    <t>07:39</t>
  </si>
  <si>
    <t>15:31</t>
  </si>
  <si>
    <t>TDQS-8791</t>
  </si>
  <si>
    <t>WOYA-4176</t>
  </si>
  <si>
    <t>KHVZ-2990</t>
  </si>
  <si>
    <t>14:58</t>
  </si>
  <si>
    <t>FBHR-6722</t>
  </si>
  <si>
    <t>HDQL-9445</t>
  </si>
  <si>
    <t>15:47</t>
  </si>
  <si>
    <t>MXHH-7006</t>
  </si>
  <si>
    <t>09:54</t>
  </si>
  <si>
    <t>IDTS-8140</t>
  </si>
  <si>
    <t>09:46</t>
  </si>
  <si>
    <t>13:05</t>
  </si>
  <si>
    <t>GKVQ-5604</t>
  </si>
  <si>
    <t>13:19</t>
  </si>
  <si>
    <t>OTIH-5067</t>
  </si>
  <si>
    <t>RFUD-5280</t>
  </si>
  <si>
    <t>14:56</t>
  </si>
  <si>
    <t>FKVH-6471</t>
  </si>
  <si>
    <t>12:07</t>
  </si>
  <si>
    <t>AUFL-5629</t>
  </si>
  <si>
    <t>GEMQ-4115</t>
  </si>
  <si>
    <t>10:59</t>
  </si>
  <si>
    <t>13:55</t>
  </si>
  <si>
    <t>PFLX-3505</t>
  </si>
  <si>
    <t>07:51</t>
  </si>
  <si>
    <t>OISI-9827</t>
  </si>
  <si>
    <t>HTQG-8145</t>
  </si>
  <si>
    <t>15:28</t>
  </si>
  <si>
    <t>XCUK-9225</t>
  </si>
  <si>
    <t>08:03</t>
  </si>
  <si>
    <t>13:09</t>
  </si>
  <si>
    <t>IULP-9546</t>
  </si>
  <si>
    <t>11:53</t>
  </si>
  <si>
    <t>15:07</t>
  </si>
  <si>
    <t>OIOI-8991</t>
  </si>
  <si>
    <t>SEUL-1757</t>
  </si>
  <si>
    <t>10:48</t>
  </si>
  <si>
    <t>RSRM-1968</t>
  </si>
  <si>
    <t>KXYD-2409</t>
  </si>
  <si>
    <t>15:33</t>
  </si>
  <si>
    <t>ZRCU-9672</t>
  </si>
  <si>
    <t>07:08</t>
  </si>
  <si>
    <t>15:42</t>
  </si>
  <si>
    <t>HNSK-1701</t>
  </si>
  <si>
    <t>08:32</t>
  </si>
  <si>
    <t>BLXT-6824</t>
  </si>
  <si>
    <t>MHZE-9161</t>
  </si>
  <si>
    <t>14:20</t>
  </si>
  <si>
    <t>OCNL-3497</t>
  </si>
  <si>
    <t>11:22</t>
  </si>
  <si>
    <t>15:02</t>
  </si>
  <si>
    <t>AJYA-3358</t>
  </si>
  <si>
    <t>13:26</t>
  </si>
  <si>
    <t>PMZM-1830</t>
  </si>
  <si>
    <t>PTKW-8544</t>
  </si>
  <si>
    <t>07:54</t>
  </si>
  <si>
    <t>CXJH-3409</t>
  </si>
  <si>
    <t>08:11</t>
  </si>
  <si>
    <t>MVNZ-3230</t>
  </si>
  <si>
    <t>07:29</t>
  </si>
  <si>
    <t>ZNUC-6187</t>
  </si>
  <si>
    <t>BAOY-8746</t>
  </si>
  <si>
    <t>UMCF-1337</t>
  </si>
  <si>
    <t>09:55</t>
  </si>
  <si>
    <t>15:20</t>
  </si>
  <si>
    <t>CWIY-5576</t>
  </si>
  <si>
    <t>10:21</t>
  </si>
  <si>
    <t>XPJD-6229</t>
  </si>
  <si>
    <t>KAHV-8501</t>
  </si>
  <si>
    <t>PDPC-1519</t>
  </si>
  <si>
    <t>11:47</t>
  </si>
  <si>
    <t>ZAHQ-7653</t>
  </si>
  <si>
    <t>07:58</t>
  </si>
  <si>
    <t>XOEN-5394</t>
  </si>
  <si>
    <t>MSEM-5290</t>
  </si>
  <si>
    <t>AWMR-6104</t>
  </si>
  <si>
    <t>XQOC-2407</t>
  </si>
  <si>
    <t>12:56</t>
  </si>
  <si>
    <t>YXJY-8792</t>
  </si>
  <si>
    <t>11:32</t>
  </si>
  <si>
    <t>OJNN-9558</t>
  </si>
  <si>
    <t>07:57</t>
  </si>
  <si>
    <t>QGQN-1281</t>
  </si>
  <si>
    <t>15:26</t>
  </si>
  <si>
    <t>TFDQ-4195</t>
  </si>
  <si>
    <t>13:47</t>
  </si>
  <si>
    <t>LHNS-7934</t>
  </si>
  <si>
    <t>10:51</t>
  </si>
  <si>
    <t>TZAY-8501</t>
  </si>
  <si>
    <t>10:33</t>
  </si>
  <si>
    <t>12:39</t>
  </si>
  <si>
    <t>LMYN-6357</t>
  </si>
  <si>
    <t>13:51</t>
  </si>
  <si>
    <t>PMBF-8433</t>
  </si>
  <si>
    <t>10:10</t>
  </si>
  <si>
    <t>BTLZ-5270</t>
  </si>
  <si>
    <t>RWTE-1936</t>
  </si>
  <si>
    <t>DIYF-2436</t>
  </si>
  <si>
    <t>14:03</t>
  </si>
  <si>
    <t>YMXB-8224</t>
  </si>
  <si>
    <t>12:51</t>
  </si>
  <si>
    <t>TPAV-2715</t>
  </si>
  <si>
    <t>08:59</t>
  </si>
  <si>
    <t>WTVK-1357</t>
  </si>
  <si>
    <t>11:07</t>
  </si>
  <si>
    <t>WLMQ-5078</t>
  </si>
  <si>
    <t>15:59</t>
  </si>
  <si>
    <t>ATRD-2939</t>
  </si>
  <si>
    <t>VSRJ-6400</t>
  </si>
  <si>
    <t>10:44</t>
  </si>
  <si>
    <t>UIWC-1208</t>
  </si>
  <si>
    <t>07:49</t>
  </si>
  <si>
    <t>EJRV-9836</t>
  </si>
  <si>
    <t>11:04</t>
  </si>
  <si>
    <t>12:11</t>
  </si>
  <si>
    <t>GESK-6320</t>
  </si>
  <si>
    <t>TZGF-4092</t>
  </si>
  <si>
    <t>FIWI-4950</t>
  </si>
  <si>
    <t>10:12</t>
  </si>
  <si>
    <t>XIRA-6142</t>
  </si>
  <si>
    <t>14:37</t>
  </si>
  <si>
    <t>QBXP-6816</t>
  </si>
  <si>
    <t>09:30</t>
  </si>
  <si>
    <t>GDNA-5915</t>
  </si>
  <si>
    <t>10:35</t>
  </si>
  <si>
    <t>15:40</t>
  </si>
  <si>
    <t>PTZY-9675</t>
  </si>
  <si>
    <t>12:31</t>
  </si>
  <si>
    <t>VBTT-7257</t>
  </si>
  <si>
    <t>FXAP-5214</t>
  </si>
  <si>
    <t>RKFS-2389</t>
  </si>
  <si>
    <t>07:07</t>
  </si>
  <si>
    <t>15:41</t>
  </si>
  <si>
    <t>PDOZ-4153</t>
  </si>
  <si>
    <t>07:36</t>
  </si>
  <si>
    <t>JWMN-8043</t>
  </si>
  <si>
    <t>14:23</t>
  </si>
  <si>
    <t>FYSU-6630</t>
  </si>
  <si>
    <t>08:30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</si>
  <si>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</si>
  <si>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</si>
  <si>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</si>
  <si>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</si>
  <si>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</si>
  <si>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</si>
  <si>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</si>
  <si>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</si>
  <si>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</si>
  <si>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</si>
  <si>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</si>
  <si>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</si>
  <si>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</si>
  <si>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</si>
  <si>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</si>
  <si>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</si>
  <si>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</si>
  <si>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</si>
  <si>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</si>
  <si>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</si>
  <si>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</si>
  <si>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</si>
  <si>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</si>
  <si>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</si>
  <si>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</si>
  <si>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</si>
  <si>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</si>
  <si>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</si>
  <si>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</si>
  <si>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</si>
  <si>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</si>
  <si>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</si>
  <si>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</si>
  <si>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</si>
  <si>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</si>
  <si>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</si>
  <si>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</si>
  <si>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</si>
  <si>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</si>
  <si>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</si>
  <si>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</si>
  <si>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</si>
  <si>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</si>
  <si>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</si>
  <si>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</si>
  <si>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</si>
  <si>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</si>
  <si>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</si>
  <si>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</si>
  <si>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</si>
  <si>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</si>
  <si>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</si>
  <si>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</si>
  <si>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</si>
  <si>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</si>
  <si>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</si>
  <si>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</si>
  <si>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</si>
  <si>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</si>
  <si>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</si>
  <si>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</si>
  <si>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</si>
  <si>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</si>
  <si>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</si>
  <si>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</si>
  <si>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</si>
  <si>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</si>
  <si>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</si>
  <si>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</si>
  <si>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</si>
  <si>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</si>
  <si>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</si>
  <si>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</si>
  <si>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</si>
  <si>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</si>
  <si>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</si>
  <si>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</si>
  <si>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</si>
  <si>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</si>
  <si>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</si>
  <si>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</si>
  <si>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</si>
  <si>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</si>
  <si>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</si>
  <si>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</si>
  <si>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</si>
  <si>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</si>
  <si>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</si>
  <si>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</si>
  <si>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</si>
  <si>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</si>
  <si>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</si>
  <si>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</si>
  <si>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</si>
  <si>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</si>
  <si>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</si>
  <si>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</si>
  <si>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</si>
  <si>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</si>
  <si>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</si>
  <si>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</si>
  <si>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</si>
  <si>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</si>
  <si>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</si>
  <si>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</si>
  <si>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</si>
  <si>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</si>
  <si>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</si>
  <si>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</si>
  <si>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</si>
  <si>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</si>
  <si>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</si>
  <si>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</si>
  <si>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</si>
  <si>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</si>
  <si>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</si>
  <si>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</si>
  <si>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</si>
  <si>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</si>
  <si>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</si>
  <si>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</si>
  <si>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</si>
  <si>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</si>
  <si>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</si>
  <si>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</si>
  <si>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</si>
  <si>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</si>
  <si>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</si>
  <si>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</si>
  <si>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</si>
  <si>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</si>
  <si>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</si>
  <si>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</si>
  <si>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</si>
  <si>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</si>
  <si>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</si>
  <si>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</si>
  <si>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</si>
  <si>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</si>
  <si>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</si>
  <si>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</si>
  <si>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</si>
  <si>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</si>
  <si>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</si>
  <si>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</si>
  <si>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</si>
  <si>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</si>
  <si>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</si>
  <si>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</si>
  <si>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</si>
  <si>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</si>
  <si>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</si>
  <si>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</si>
  <si>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</si>
  <si>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</si>
  <si>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</si>
  <si>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</si>
  <si>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</si>
  <si>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</si>
  <si>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</si>
  <si>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</si>
  <si>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</si>
  <si>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</si>
  <si>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</si>
  <si>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</si>
  <si>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</si>
  <si>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</si>
  <si>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</si>
  <si>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</si>
  <si>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</si>
  <si>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</si>
  <si>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</si>
  <si>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</si>
  <si>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</si>
  <si>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</si>
  <si>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</si>
  <si>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</si>
  <si>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</si>
  <si>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</si>
  <si>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</si>
  <si>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</si>
  <si>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</si>
  <si>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</si>
  <si>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</si>
  <si>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</si>
  <si>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</si>
  <si>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</si>
  <si>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</si>
  <si>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</si>
  <si>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</si>
  <si>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</si>
  <si>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</si>
  <si>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</si>
  <si>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</si>
  <si>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</si>
  <si>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</si>
  <si>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</si>
  <si>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</si>
  <si>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</si>
  <si>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</si>
  <si>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</si>
  <si>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</si>
  <si>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</si>
  <si>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</si>
  <si>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</si>
  <si>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</si>
  <si>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</si>
  <si>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</si>
  <si>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</si>
  <si>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</si>
  <si>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</si>
  <si>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</si>
  <si>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</si>
  <si>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</si>
  <si>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</si>
  <si>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</si>
  <si>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</si>
  <si>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</si>
  <si>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</si>
  <si>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</si>
  <si>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</si>
  <si>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</si>
  <si>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</si>
  <si>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</si>
  <si>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</si>
  <si>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</si>
  <si>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</si>
  <si>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</si>
  <si>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</si>
  <si>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</si>
  <si>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</si>
  <si>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</si>
  <si>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</si>
  <si>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</si>
  <si>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</si>
  <si>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</si>
  <si>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</si>
  <si>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</si>
  <si>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</si>
  <si>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</si>
  <si>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</si>
  <si>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</si>
  <si>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</si>
  <si>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</si>
  <si>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</si>
  <si>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</si>
  <si>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</si>
  <si>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</si>
  <si>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</si>
  <si>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</si>
  <si>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</si>
  <si>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</si>
  <si>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</si>
  <si>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</si>
  <si>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</si>
  <si>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</si>
  <si>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</si>
  <si>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</si>
  <si>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</si>
  <si>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</si>
  <si>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</si>
  <si>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</si>
  <si>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</si>
  <si>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</si>
  <si>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</si>
  <si>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MESES</t>
  </si>
  <si>
    <t>TOTAL</t>
  </si>
  <si>
    <t>VALOR TOTAL</t>
  </si>
  <si>
    <t>CONTAGEM</t>
  </si>
  <si>
    <t>VALOR MÁXIMO</t>
  </si>
  <si>
    <t>VALOR MÍNIMO</t>
  </si>
  <si>
    <t>MÉDIA</t>
  </si>
  <si>
    <t>MÁXIMO</t>
  </si>
  <si>
    <t>MÍNIMO</t>
  </si>
  <si>
    <t>VALOR MÉDIA(MÊS)</t>
  </si>
  <si>
    <t>Mês</t>
  </si>
  <si>
    <t>inicio</t>
  </si>
  <si>
    <t>Qtde</t>
  </si>
  <si>
    <t>Estado</t>
  </si>
  <si>
    <t>Coluna1</t>
  </si>
  <si>
    <t>Coluna2</t>
  </si>
  <si>
    <t>254</t>
  </si>
  <si>
    <t>Carro Grande</t>
  </si>
  <si>
    <t>CARLOS-000</t>
  </si>
  <si>
    <t>04:23</t>
  </si>
  <si>
    <t>04:49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</si>
</sst>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[$-F400]h:mm:ss\ AM/PM"/>
    <numFmt numFmtId="165" formatCode="hh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0" fillId="0" borderId="1" xfId="0" applyBorder="1"/>
    <xf numFmtId="44" fontId="0" fillId="0" borderId="1" xfId="1" applyFont="1" applyBorder="1"/>
    <xf numFmtId="0" fontId="5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0" xfId="0" applyNumberFormat="1"/>
    <xf numFmtId="164" fontId="0" fillId="0" borderId="0" xfId="0" applyNumberFormat="1"/>
    <xf numFmtId="14" fontId="0" fillId="0" borderId="0" xfId="0" applyNumberFormat="1"/>
    <xf numFmtId="14" fontId="0" fillId="0" borderId="1" xfId="0" quotePrefix="1" applyNumberFormat="1" applyBorder="1"/>
    <xf numFmtId="4" fontId="0" fillId="0" borderId="0" xfId="0" applyNumberFormat="1"/>
    <xf numFmtId="0" fontId="3" fillId="0" borderId="0" xfId="0" applyNumberFormat="1" applyFont="1"/>
    <xf numFmtId="0" fontId="4" fillId="2" borderId="1" xfId="0" applyNumberFormat="1" applyFont="1" applyFill="1" applyBorder="1" applyAlignment="1">
      <alignment horizontal="center"/>
    </xf>
    <xf numFmtId="4" fontId="2" fillId="2" borderId="1" xfId="0" applyNumberFormat="1" applyFont="1" applyFill="1" applyBorder="1" applyAlignment="1">
      <alignment horizontal="center"/>
    </xf>
    <xf numFmtId="4" fontId="0" fillId="0" borderId="1" xfId="1" quotePrefix="1" applyNumberFormat="1" applyFont="1" applyBorder="1"/>
    <xf numFmtId="0" fontId="0" fillId="0" borderId="1" xfId="0" applyNumberFormat="1" applyBorder="1"/>
    <xf numFmtId="20" fontId="0" fillId="0" borderId="0" xfId="0" applyNumberFormat="1"/>
    <xf numFmtId="20" fontId="0" fillId="0" borderId="1" xfId="0" quotePrefix="1" applyNumberFormat="1" applyBorder="1"/>
    <xf numFmtId="20" fontId="0" fillId="0" borderId="0" xfId="0" quotePrefix="1" applyNumberFormat="1"/>
    <xf numFmtId="0" fontId="0" fillId="0" borderId="1" xfId="0" quotePrefix="1" applyNumberFormat="1" applyBorder="1"/>
    <xf numFmtId="0" fontId="0" fillId="0" borderId="0" xfId="0" quotePrefix="1" applyNumberFormat="1"/>
    <xf numFmtId="20" fontId="0" fillId="0" borderId="0" xfId="0" applyNumberFormat="1"/>
    <xf numFmtId="49" fontId="4" fillId="2" borderId="2" xfId="0" applyNumberFormat="1" applyFont="1" applyFill="1" applyBorder="1" applyAlignment="1">
      <alignment horizontal="center"/>
    </xf>
    <xf numFmtId="14" fontId="0" fillId="0" borderId="0" xfId="0" quotePrefix="1" applyNumberFormat="1" applyBorder="1"/>
    <xf numFmtId="49" fontId="0" fillId="0" borderId="0" xfId="0" quotePrefix="1" applyNumberFormat="1" applyBorder="1"/>
    <xf numFmtId="4" fontId="0" fillId="0" borderId="0" xfId="1" quotePrefix="1" applyNumberFormat="1" applyFont="1" applyBorder="1"/>
    <xf numFmtId="20" fontId="0" fillId="0" borderId="0" xfId="0" applyNumberFormat="1"/>
    <xf numFmtId="14" fontId="0" fillId="0" borderId="1" xfId="0" applyNumberFormat="1" applyBorder="1"/>
    <xf numFmtId="20" fontId="6" fillId="0" borderId="1" xfId="0" applyNumberFormat="1" applyFont="1" applyBorder="1" applyAlignment="1">
      <alignment horizontal="center"/>
    </xf>
    <xf numFmtId="44" fontId="0" fillId="0" borderId="0" xfId="0" applyNumberFormat="1"/>
    <xf numFmtId="0" fontId="0" fillId="0" borderId="1" xfId="0" applyBorder="1" applyAlignment="1">
      <alignment horizontal="center"/>
    </xf>
    <xf numFmtId="20" fontId="0" fillId="0" borderId="0" xfId="0" quotePrefix="1" applyNumberFormat="1"/>
    <xf numFmtId="20" fontId="2" fillId="4" borderId="4" xfId="0" applyNumberFormat="1" applyFont="1" applyFill="1" applyBorder="1"/>
    <xf numFmtId="44" fontId="2" fillId="4" borderId="2" xfId="1" applyNumberFormat="1" applyFont="1" applyFill="1" applyBorder="1"/>
    <xf numFmtId="20" fontId="6" fillId="3" borderId="4" xfId="0" applyNumberFormat="1" applyFont="1" applyFill="1" applyBorder="1"/>
    <xf numFmtId="44" fontId="0" fillId="3" borderId="2" xfId="1" applyNumberFormat="1" applyFont="1" applyFill="1" applyBorder="1"/>
    <xf numFmtId="20" fontId="6" fillId="0" borderId="4" xfId="0" applyNumberFormat="1" applyFont="1" applyBorder="1"/>
    <xf numFmtId="44" fontId="0" fillId="0" borderId="2" xfId="1" applyNumberFormat="1" applyFont="1" applyBorder="1"/>
    <xf numFmtId="20" fontId="6" fillId="3" borderId="3" xfId="0" applyNumberFormat="1" applyFont="1" applyFill="1" applyBorder="1"/>
    <xf numFmtId="0" fontId="0" fillId="3" borderId="1" xfId="0" applyFont="1" applyFill="1" applyBorder="1"/>
    <xf numFmtId="165" fontId="0" fillId="0" borderId="0" xfId="0" applyNumberFormat="1"/>
    <xf numFmtId="165" fontId="0" fillId="0" borderId="0" xfId="0" quotePrefix="1" applyNumberFormat="1" applyBorder="1"/>
    <xf numFmtId="165" fontId="0" fillId="0" borderId="0" xfId="0" quotePrefix="1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FILTRO!$B$5</c:f>
              <c:strCache>
                <c:ptCount val="1"/>
                <c:pt idx="0">
                  <c:v>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[0]!ROTULOS</c:f>
              <c:numCache>
                <c:formatCode>m/d/yyyy</c:formatCode>
                <c:ptCount val="30"/>
                <c:pt idx="0">
                  <c:v>44440</c:v>
                </c:pt>
                <c:pt idx="1">
                  <c:v>44441</c:v>
                </c:pt>
                <c:pt idx="2">
                  <c:v>44442</c:v>
                </c:pt>
                <c:pt idx="3">
                  <c:v>44443</c:v>
                </c:pt>
                <c:pt idx="4">
                  <c:v>44444</c:v>
                </c:pt>
                <c:pt idx="5">
                  <c:v>44445</c:v>
                </c:pt>
                <c:pt idx="6">
                  <c:v>44446</c:v>
                </c:pt>
                <c:pt idx="7">
                  <c:v>44447</c:v>
                </c:pt>
                <c:pt idx="8">
                  <c:v>44448</c:v>
                </c:pt>
                <c:pt idx="9">
                  <c:v>44449</c:v>
                </c:pt>
                <c:pt idx="10">
                  <c:v>44450</c:v>
                </c:pt>
                <c:pt idx="11">
                  <c:v>44451</c:v>
                </c:pt>
                <c:pt idx="12">
                  <c:v>44452</c:v>
                </c:pt>
                <c:pt idx="13">
                  <c:v>44453</c:v>
                </c:pt>
                <c:pt idx="14">
                  <c:v>44454</c:v>
                </c:pt>
                <c:pt idx="15">
                  <c:v>44455</c:v>
                </c:pt>
                <c:pt idx="16">
                  <c:v>44456</c:v>
                </c:pt>
                <c:pt idx="17">
                  <c:v>44457</c:v>
                </c:pt>
                <c:pt idx="18">
                  <c:v>44458</c:v>
                </c:pt>
                <c:pt idx="19">
                  <c:v>44459</c:v>
                </c:pt>
                <c:pt idx="20">
                  <c:v>44460</c:v>
                </c:pt>
                <c:pt idx="21">
                  <c:v>44461</c:v>
                </c:pt>
                <c:pt idx="22">
                  <c:v>44462</c:v>
                </c:pt>
                <c:pt idx="23">
                  <c:v>44463</c:v>
                </c:pt>
                <c:pt idx="24">
                  <c:v>44464</c:v>
                </c:pt>
                <c:pt idx="25">
                  <c:v>44465</c:v>
                </c:pt>
                <c:pt idx="26">
                  <c:v>44466</c:v>
                </c:pt>
                <c:pt idx="27">
                  <c:v>44467</c:v>
                </c:pt>
                <c:pt idx="28">
                  <c:v>44468</c:v>
                </c:pt>
                <c:pt idx="29">
                  <c:v>44469</c:v>
                </c:pt>
              </c:numCache>
            </c:numRef>
          </c:cat>
          <c:val>
            <c:numRef>
              <c:f>[0]!VALORES</c:f>
              <c:numCache>
                <c:formatCode>_("R$"* #,##0.00_);_("R$"* \(#,##0.00\);_("R$"* "-"??_);_(@_)</c:formatCode>
                <c:ptCount val="30"/>
                <c:pt idx="0">
                  <c:v>155.88333333333327</c:v>
                </c:pt>
                <c:pt idx="1">
                  <c:v>184.61666666666667</c:v>
                </c:pt>
                <c:pt idx="2">
                  <c:v>67.249999999999986</c:v>
                </c:pt>
                <c:pt idx="3">
                  <c:v>0</c:v>
                </c:pt>
                <c:pt idx="4">
                  <c:v>141.94999999999999</c:v>
                </c:pt>
                <c:pt idx="5">
                  <c:v>178.75</c:v>
                </c:pt>
                <c:pt idx="6">
                  <c:v>100.8</c:v>
                </c:pt>
                <c:pt idx="7">
                  <c:v>0</c:v>
                </c:pt>
                <c:pt idx="8">
                  <c:v>195.30000000000007</c:v>
                </c:pt>
                <c:pt idx="9">
                  <c:v>143.80000000000001</c:v>
                </c:pt>
                <c:pt idx="10">
                  <c:v>0</c:v>
                </c:pt>
                <c:pt idx="11">
                  <c:v>21.400000000000006</c:v>
                </c:pt>
                <c:pt idx="12">
                  <c:v>61.600000000000009</c:v>
                </c:pt>
                <c:pt idx="13">
                  <c:v>40.200000000000003</c:v>
                </c:pt>
                <c:pt idx="14">
                  <c:v>259.5</c:v>
                </c:pt>
                <c:pt idx="15">
                  <c:v>53.800000000000011</c:v>
                </c:pt>
                <c:pt idx="16">
                  <c:v>203.03333333333333</c:v>
                </c:pt>
                <c:pt idx="17">
                  <c:v>548.65000000000009</c:v>
                </c:pt>
                <c:pt idx="18">
                  <c:v>165</c:v>
                </c:pt>
                <c:pt idx="19">
                  <c:v>122.75</c:v>
                </c:pt>
                <c:pt idx="20">
                  <c:v>234.81666666666672</c:v>
                </c:pt>
                <c:pt idx="21">
                  <c:v>31.200000000000003</c:v>
                </c:pt>
                <c:pt idx="22">
                  <c:v>96.749999999999972</c:v>
                </c:pt>
                <c:pt idx="23">
                  <c:v>27.9</c:v>
                </c:pt>
                <c:pt idx="24">
                  <c:v>38.999999999999972</c:v>
                </c:pt>
                <c:pt idx="25">
                  <c:v>101.33333333333333</c:v>
                </c:pt>
                <c:pt idx="26">
                  <c:v>0</c:v>
                </c:pt>
                <c:pt idx="27">
                  <c:v>100.99999999999997</c:v>
                </c:pt>
                <c:pt idx="28">
                  <c:v>59.099999999999994</c:v>
                </c:pt>
                <c:pt idx="29">
                  <c:v>109.33333333333331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A-4C53-89C8-A218C11225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291376"/>
        <c:axId val="2029295536"/>
      </c:barChart>
      <c:dateAx>
        <c:axId val="2029291376"/>
        <c:scaling>
          <c:orientation val="minMax"/>
        </c:scaling>
        <c:delete val="0"/>
        <c:axPos val="b"/>
        <c:numFmt formatCode="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9295536"/>
        <c:crosses val="autoZero"/>
        <c:auto val="1"/>
        <c:lblOffset val="100"/>
        <c:baseTimeUnit val="days"/>
      </c:dateAx>
      <c:valAx>
        <c:axId val="2029295536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02929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FILTRO!$C$5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3175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FILTRO!$B$6:$B$17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FILTRO!$C$6:$C$17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4087.0833333333321</c:v>
                </c:pt>
                <c:pt idx="6">
                  <c:v>3743.2</c:v>
                </c:pt>
                <c:pt idx="7">
                  <c:v>5043.7</c:v>
                </c:pt>
                <c:pt idx="8">
                  <c:v>3444.7166666666672</c:v>
                </c:pt>
                <c:pt idx="9">
                  <c:v>48.569999999999986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A3-4EEE-8BDD-92B1FDCF57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29267664"/>
        <c:axId val="2029268912"/>
      </c:barChart>
      <c:catAx>
        <c:axId val="2029267664"/>
        <c:scaling>
          <c:orientation val="minMax"/>
        </c:scaling>
        <c:delete val="0"/>
        <c:axPos val="l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9268912"/>
        <c:crosses val="autoZero"/>
        <c:auto val="1"/>
        <c:lblAlgn val="ctr"/>
        <c:lblOffset val="100"/>
        <c:noMultiLvlLbl val="0"/>
      </c:catAx>
      <c:valAx>
        <c:axId val="2029268912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0292676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7620</xdr:colOff>
      <xdr:row>5</xdr:row>
      <xdr:rowOff>7620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0"/>
          <a:ext cx="2583180" cy="9829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7620</xdr:colOff>
      <xdr:row>5</xdr:row>
      <xdr:rowOff>106680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0"/>
          <a:ext cx="2583180" cy="9829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9959340</xdr:colOff>
      <xdr:row>0</xdr:row>
      <xdr:rowOff>4640580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4716780</xdr:colOff>
          <xdr:row>0</xdr:row>
          <xdr:rowOff>45720</xdr:rowOff>
        </xdr:from>
        <xdr:to>
          <xdr:col>0</xdr:col>
          <xdr:colOff>6659880</xdr:colOff>
          <xdr:row>0</xdr:row>
          <xdr:rowOff>396240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6697980</xdr:colOff>
          <xdr:row>0</xdr:row>
          <xdr:rowOff>38100</xdr:rowOff>
        </xdr:from>
        <xdr:to>
          <xdr:col>0</xdr:col>
          <xdr:colOff>8641080</xdr:colOff>
          <xdr:row>0</xdr:row>
          <xdr:rowOff>388620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9997440</xdr:colOff>
      <xdr:row>0</xdr:row>
      <xdr:rowOff>22860</xdr:rowOff>
    </xdr:from>
    <xdr:to>
      <xdr:col>0</xdr:col>
      <xdr:colOff>14135100</xdr:colOff>
      <xdr:row>0</xdr:row>
      <xdr:rowOff>2815590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10012680</xdr:colOff>
          <xdr:row>0</xdr:row>
          <xdr:rowOff>2865120</xdr:rowOff>
        </xdr:from>
        <xdr:to>
          <xdr:col>0</xdr:col>
          <xdr:colOff>14150340</xdr:colOff>
          <xdr:row>0</xdr:row>
          <xdr:rowOff>4625340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6:$H$10" spid="_x0000_s6155"/>
                </a:ext>
              </a:extLst>
            </xdr:cNvPicPr>
          </xdr:nvPicPr>
          <xdr:blipFill>
            <a:blip xmlns:r="http://schemas.openxmlformats.org/officeDocument/2006/relationships" r:embed="rId3">
              <a:duotone>
                <a:schemeClr val="accent1">
                  <a:shade val="45000"/>
                  <a:satMod val="135000"/>
                </a:schemeClr>
                <a:prstClr val="white"/>
              </a:duotone>
            </a:blip>
            <a:srcRect/>
            <a:stretch>
              <a:fillRect/>
            </a:stretch>
          </xdr:blipFill>
          <xdr:spPr bwMode="auto">
            <a:xfrm>
              <a:off x="10012680" y="2865120"/>
              <a:ext cx="4137660" cy="17602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9B65-7A53-4522-B748-E62775BBB7FA}">
  <sheetPr codeName="PlanBD1">
    <tabColor rgb="FF00B050"/>
  </sheetPr>
  <dimension ref="B1:L261"/>
  <sheetViews>
    <sheetView showGridLines="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4.4" x14ac:dyDescent="0.3"/>
  <cols>
    <col min="1" max="1" width="1.88671875" customWidth="1"/>
    <col min="2" max="5" width="18.77734375" style="8" customWidth="1"/>
    <col min="6" max="8" width="18.77734375" style="18" customWidth="1"/>
    <col min="9" max="9" width="18.77734375" style="8" customWidth="1"/>
    <col min="10" max="10" width="18.77734375" style="12" customWidth="1"/>
    <col min="11" max="12" width="18.77734375" style="8" customWidth="1"/>
  </cols>
  <sheetData>
    <row r="1" spans="2:12" ht="15.6" x14ac:dyDescent="0.3">
      <c r="B1"/>
      <c r="C1"/>
      <c r="D1" s="5" t="s">
        <v>5</v>
      </c>
      <c r="E1" s="5" t="s">
        <v>6</v>
      </c>
      <c r="F1"/>
      <c r="G1"/>
      <c r="H1" s="6" t="s">
        <v>12</v>
      </c>
      <c r="I1" s="15" t="s">
        <v>11</v>
      </c>
      <c r="K1"/>
      <c r="L1" s="6" t="s">
        <v>13</v>
      </c>
    </row>
    <row r="2" spans="2:12" x14ac:dyDescent="0.3">
      <c r="B2"/>
      <c r="C2"/>
      <c r="D2" s="3" t="s">
        <v>7</v>
      </c>
      <c r="E2" s="4">
        <v>20</v>
      </c>
      <c r="F2"/>
      <c r="G2"/>
      <c r="H2" s="3">
        <v>0</v>
      </c>
      <c r="I2" s="17">
        <v>0</v>
      </c>
      <c r="K2"/>
      <c r="L2" s="7">
        <v>30</v>
      </c>
    </row>
    <row r="3" spans="2:12" x14ac:dyDescent="0.3">
      <c r="B3"/>
      <c r="C3"/>
      <c r="D3" s="3" t="s">
        <v>8</v>
      </c>
      <c r="E3" s="4">
        <v>15</v>
      </c>
      <c r="F3"/>
      <c r="G3"/>
      <c r="H3"/>
      <c r="I3"/>
      <c r="J3" s="8"/>
      <c r="K3"/>
      <c r="L3"/>
    </row>
    <row r="4" spans="2:12" x14ac:dyDescent="0.3">
      <c r="B4"/>
      <c r="C4"/>
      <c r="D4" s="3" t="s">
        <v>9</v>
      </c>
      <c r="E4" s="4">
        <v>12</v>
      </c>
      <c r="F4"/>
      <c r="G4"/>
      <c r="H4" s="8"/>
      <c r="J4" s="8"/>
    </row>
    <row r="5" spans="2:12" s="1" customFormat="1" ht="18" x14ac:dyDescent="0.35">
      <c r="D5" s="3" t="s">
        <v>10</v>
      </c>
      <c r="E5" s="4">
        <v>9</v>
      </c>
      <c r="H5" s="13"/>
      <c r="I5" s="13"/>
      <c r="J5" s="13"/>
    </row>
    <row r="6" spans="2:12" x14ac:dyDescent="0.3">
      <c r="B6"/>
      <c r="C6"/>
      <c r="D6"/>
      <c r="E6"/>
      <c r="F6"/>
      <c r="G6"/>
      <c r="H6"/>
      <c r="I6"/>
      <c r="J6" s="8"/>
      <c r="K6"/>
      <c r="L6"/>
    </row>
    <row r="7" spans="2:12" ht="18" x14ac:dyDescent="0.35">
      <c r="B7" s="2" t="s">
        <v>0</v>
      </c>
      <c r="C7" s="2" t="s">
        <v>16</v>
      </c>
      <c r="D7" s="2" t="s">
        <v>5</v>
      </c>
      <c r="E7" s="2" t="s">
        <v>1</v>
      </c>
      <c r="F7" s="2" t="s">
        <v>2</v>
      </c>
      <c r="G7" s="2" t="s">
        <v>14</v>
      </c>
      <c r="H7" s="2" t="s">
        <v>15</v>
      </c>
      <c r="I7" s="2" t="s">
        <v>19</v>
      </c>
      <c r="J7" s="14" t="s">
        <v>6</v>
      </c>
      <c r="K7" s="2" t="s">
        <v>3</v>
      </c>
      <c r="L7" s="2" t="s">
        <v>4</v>
      </c>
    </row>
    <row r="8" spans="2:12" x14ac:dyDescent="0.3">
      <c r="B8" s="21">
        <f>ROW(A1)</f>
        <v>1</v>
      </c>
      <c r="C8" s="11">
        <f ca="1">DATE(2021,RANDBETWEEN(6,9),RANDBETWEEN(1,31))</f>
        <v>44389</v>
      </c>
      <c r="D8" s="21" t="str">
        <f ca="1">CHOOSE(RANDBETWEEN(1,4),$D$2,$D$3,$D$4,$D$5)</f>
        <v>CARRO GRANDE</v>
      </c>
      <c r="E8" s="21" t="str">
        <f ca="1">CHAR(RANDBETWEEN(65,90))&amp;CHAR(RANDBETWEEN(65,90))&amp;CHAR(RANDBETWEEN(65,90))&amp;CHAR(RANDBETWEEN(65,90))&amp;"-"&amp;RANDBETWEEN(1111,9999)</f>
        <v>QHBG-1616</v>
      </c>
      <c r="F8" s="19" t="str">
        <f ca="1">TEXT(RANDBETWEEN(7,11)&amp;":"&amp;RANDBETWEEN(1,59),"HH:MM")</f>
        <v>11:43</v>
      </c>
      <c r="G8" s="19" t="str">
        <f ca="1">TEXT(RANDBETWEEN(12,15)&amp;":"&amp;RANDBETWEEN(1,59),"HH:MM")</f>
        <v>12:41</v>
      </c>
      <c r="H8" s="19">
        <f ca="1">G8-F8</f>
        <v>4.0277777777777801E-2</v>
      </c>
      <c r="I8" s="21" t="str">
        <f ca="1">CHOOSE(RANDBETWEEN(1,2),"Cartão","Dinheiro")</f>
        <v>Cartão</v>
      </c>
      <c r="J8" s="16">
        <f ca="1">H8*24*IF(D8=$D$2,$E$2,IF(D8=$D$3,$E$3,IF(D8=$D$4,$E$4,IF(D8=$D$5,$E$5))))</f>
        <v>19.333333333333343</v>
      </c>
      <c r="K8" s="21" t="str">
        <f ca="1">CHOOSE(RANDBETWEEN(1,15),"A1","A2","A3","A4","A5","B1","B2","B3","B4","B5","C1","C2","C3","C4","C5")</f>
        <v>B2</v>
      </c>
      <c r="L8" s="21" t="s">
        <v>18</v>
      </c>
    </row>
    <row r="9" spans="2:12" x14ac:dyDescent="0.3">
      <c r="B9" s="21">
        <f t="shared" ref="B9:B72" si="0">ROW(A2)</f>
        <v>2</v>
      </c>
      <c r="C9" s="11">
        <f t="shared" ref="C9:C72" ca="1" si="1">DATE(2021,RANDBETWEEN(6,9),RANDBETWEEN(1,31))</f>
        <v>44392</v>
      </c>
      <c r="D9" s="21" t="str">
        <f t="shared" ref="D9:D72" ca="1" si="2">CHOOSE(RANDBETWEEN(1,4),$D$2,$D$3,$D$4,$D$5)</f>
        <v>MOTO</v>
      </c>
      <c r="E9" s="21" t="str">
        <f t="shared" ref="E9:E72" ca="1" si="3">CHAR(RANDBETWEEN(65,90))&amp;CHAR(RANDBETWEEN(65,90))&amp;CHAR(RANDBETWEEN(65,90))&amp;CHAR(RANDBETWEEN(65,90))&amp;"-"&amp;RANDBETWEEN(1111,9999)</f>
        <v>WZGL-1845</v>
      </c>
      <c r="F9" s="19" t="str">
        <f t="shared" ref="F9:F72" ca="1" si="4">TEXT(RANDBETWEEN(7,11)&amp;":"&amp;RANDBETWEEN(1,59),"HH:MM")</f>
        <v>07:13</v>
      </c>
      <c r="G9" s="19" t="str">
        <f t="shared" ref="G9:G72" ca="1" si="5">TEXT(RANDBETWEEN(12,15)&amp;":"&amp;RANDBETWEEN(1,59),"HH:MM")</f>
        <v>12:25</v>
      </c>
      <c r="H9" s="19">
        <f t="shared" ref="H9:H72" ca="1" si="6">G9-F9</f>
        <v>0.21666666666666662</v>
      </c>
      <c r="I9" s="21" t="str">
        <f t="shared" ref="I9:I72" ca="1" si="7">CHOOSE(RANDBETWEEN(1,2),"Cartão","Dinheiro")</f>
        <v>Cartão</v>
      </c>
      <c r="J9" s="16">
        <f t="shared" ref="J9:J72" ca="1" si="8">H9*24*IF(D9=$D$2,$E$2,IF(D9=$D$3,$E$3,IF(D9=$D$4,$E$4,IF(D9=$D$5,$E$5))))</f>
        <v>46.8</v>
      </c>
      <c r="K9" s="21" t="str">
        <f t="shared" ref="K9:K72" ca="1" si="9">CHOOSE(RANDBETWEEN(1,15),"A1","A2","A3","A4","A5","B1","B2","B3","B4","B5","C1","C2","C3","C4","C5")</f>
        <v>B3</v>
      </c>
      <c r="L9" s="21" t="s">
        <v>18</v>
      </c>
    </row>
    <row r="10" spans="2:12" x14ac:dyDescent="0.3">
      <c r="B10" s="21">
        <f t="shared" si="0"/>
        <v>3</v>
      </c>
      <c r="C10" s="11">
        <f t="shared" ca="1" si="1"/>
        <v>44353</v>
      </c>
      <c r="D10" s="21" t="str">
        <f t="shared" ca="1" si="2"/>
        <v>CARRO PEQUENO</v>
      </c>
      <c r="E10" s="21" t="str">
        <f t="shared" ca="1" si="3"/>
        <v>RSAT-7091</v>
      </c>
      <c r="F10" s="19" t="str">
        <f t="shared" ca="1" si="4"/>
        <v>09:45</v>
      </c>
      <c r="G10" s="19" t="str">
        <f t="shared" ca="1" si="5"/>
        <v>14:15</v>
      </c>
      <c r="H10" s="19">
        <f t="shared" ca="1" si="6"/>
        <v>0.1875</v>
      </c>
      <c r="I10" s="21" t="str">
        <f t="shared" ca="1" si="7"/>
        <v>Cartão</v>
      </c>
      <c r="J10" s="16">
        <f t="shared" ca="1" si="8"/>
        <v>54</v>
      </c>
      <c r="K10" s="21" t="str">
        <f t="shared" ca="1" si="9"/>
        <v>C1</v>
      </c>
      <c r="L10" s="21" t="s">
        <v>18</v>
      </c>
    </row>
    <row r="11" spans="2:12" x14ac:dyDescent="0.3">
      <c r="B11" s="21">
        <f t="shared" si="0"/>
        <v>4</v>
      </c>
      <c r="C11" s="11">
        <f t="shared" ca="1" si="1"/>
        <v>44441</v>
      </c>
      <c r="D11" s="21" t="str">
        <f t="shared" ca="1" si="2"/>
        <v>MOTO</v>
      </c>
      <c r="E11" s="21" t="str">
        <f t="shared" ca="1" si="3"/>
        <v>BMTR-8364</v>
      </c>
      <c r="F11" s="19" t="str">
        <f t="shared" ca="1" si="4"/>
        <v>11:45</v>
      </c>
      <c r="G11" s="19" t="str">
        <f t="shared" ca="1" si="5"/>
        <v>15:12</v>
      </c>
      <c r="H11" s="19">
        <f t="shared" ca="1" si="6"/>
        <v>0.14374999999999999</v>
      </c>
      <c r="I11" s="21" t="str">
        <f t="shared" ca="1" si="7"/>
        <v>Dinheiro</v>
      </c>
      <c r="J11" s="16">
        <f t="shared" ca="1" si="8"/>
        <v>31.049999999999997</v>
      </c>
      <c r="K11" s="21" t="str">
        <f t="shared" ca="1" si="9"/>
        <v>B3</v>
      </c>
      <c r="L11" s="21" t="s">
        <v>18</v>
      </c>
    </row>
    <row r="12" spans="2:12" x14ac:dyDescent="0.3">
      <c r="B12" s="21">
        <f t="shared" si="0"/>
        <v>5</v>
      </c>
      <c r="C12" s="11">
        <f t="shared" ca="1" si="1"/>
        <v>44374</v>
      </c>
      <c r="D12" s="21" t="str">
        <f t="shared" ca="1" si="2"/>
        <v>CARRO MÉDIO</v>
      </c>
      <c r="E12" s="21" t="str">
        <f t="shared" ca="1" si="3"/>
        <v>OJTQ-9368</v>
      </c>
      <c r="F12" s="19" t="str">
        <f t="shared" ca="1" si="4"/>
        <v>11:54</v>
      </c>
      <c r="G12" s="19" t="str">
        <f t="shared" ca="1" si="5"/>
        <v>14:16</v>
      </c>
      <c r="H12" s="19">
        <f t="shared" ca="1" si="6"/>
        <v>9.8611111111111094E-2</v>
      </c>
      <c r="I12" s="21" t="str">
        <f t="shared" ca="1" si="7"/>
        <v>Dinheiro</v>
      </c>
      <c r="J12" s="16">
        <f t="shared" ca="1" si="8"/>
        <v>35.499999999999993</v>
      </c>
      <c r="K12" s="21" t="str">
        <f t="shared" ca="1" si="9"/>
        <v>C4</v>
      </c>
      <c r="L12" s="21" t="s">
        <v>18</v>
      </c>
    </row>
    <row r="13" spans="2:12" x14ac:dyDescent="0.3">
      <c r="B13" s="21">
        <f t="shared" si="0"/>
        <v>6</v>
      </c>
      <c r="C13" s="11">
        <f t="shared" ca="1" si="1"/>
        <v>44420</v>
      </c>
      <c r="D13" s="21" t="str">
        <f t="shared" ca="1" si="2"/>
        <v>MOTO</v>
      </c>
      <c r="E13" s="21" t="str">
        <f t="shared" ca="1" si="3"/>
        <v>TJQN-1559</v>
      </c>
      <c r="F13" s="19" t="str">
        <f t="shared" ca="1" si="4"/>
        <v>09:15</v>
      </c>
      <c r="G13" s="19" t="str">
        <f t="shared" ca="1" si="5"/>
        <v>14:41</v>
      </c>
      <c r="H13" s="19">
        <f t="shared" ca="1" si="6"/>
        <v>0.22638888888888892</v>
      </c>
      <c r="I13" s="21" t="str">
        <f t="shared" ca="1" si="7"/>
        <v>Cartão</v>
      </c>
      <c r="J13" s="16">
        <f t="shared" ca="1" si="8"/>
        <v>48.900000000000006</v>
      </c>
      <c r="K13" s="21" t="str">
        <f t="shared" ca="1" si="9"/>
        <v>B2</v>
      </c>
      <c r="L13" s="21" t="s">
        <v>18</v>
      </c>
    </row>
    <row r="14" spans="2:12" x14ac:dyDescent="0.3">
      <c r="B14" s="21">
        <f t="shared" si="0"/>
        <v>7</v>
      </c>
      <c r="C14" s="11">
        <f t="shared" ca="1" si="1"/>
        <v>44379</v>
      </c>
      <c r="D14" s="21" t="str">
        <f t="shared" ca="1" si="2"/>
        <v>CARRO GRANDE</v>
      </c>
      <c r="E14" s="21" t="str">
        <f t="shared" ca="1" si="3"/>
        <v>AKIK-8735</v>
      </c>
      <c r="F14" s="19" t="str">
        <f t="shared" ca="1" si="4"/>
        <v>07:10</v>
      </c>
      <c r="G14" s="19" t="str">
        <f t="shared" ca="1" si="5"/>
        <v>13:02</v>
      </c>
      <c r="H14" s="19">
        <f t="shared" ca="1" si="6"/>
        <v>0.24444444444444441</v>
      </c>
      <c r="I14" s="21" t="str">
        <f t="shared" ca="1" si="7"/>
        <v>Dinheiro</v>
      </c>
      <c r="J14" s="16">
        <f t="shared" ca="1" si="8"/>
        <v>117.33333333333331</v>
      </c>
      <c r="K14" s="21" t="str">
        <f t="shared" ca="1" si="9"/>
        <v>A5</v>
      </c>
      <c r="L14" s="21" t="s">
        <v>18</v>
      </c>
    </row>
    <row r="15" spans="2:12" x14ac:dyDescent="0.3">
      <c r="B15" s="21">
        <f t="shared" si="0"/>
        <v>8</v>
      </c>
      <c r="C15" s="11">
        <f t="shared" ca="1" si="1"/>
        <v>44402</v>
      </c>
      <c r="D15" s="21" t="str">
        <f t="shared" ca="1" si="2"/>
        <v>CARRO GRANDE</v>
      </c>
      <c r="E15" s="21" t="str">
        <f t="shared" ca="1" si="3"/>
        <v>GGOH-2360</v>
      </c>
      <c r="F15" s="19" t="str">
        <f t="shared" ca="1" si="4"/>
        <v>11:41</v>
      </c>
      <c r="G15" s="19" t="str">
        <f t="shared" ca="1" si="5"/>
        <v>15:27</v>
      </c>
      <c r="H15" s="19">
        <f t="shared" ca="1" si="6"/>
        <v>0.15694444444444439</v>
      </c>
      <c r="I15" s="21" t="str">
        <f t="shared" ca="1" si="7"/>
        <v>Cartão</v>
      </c>
      <c r="J15" s="16">
        <f t="shared" ca="1" si="8"/>
        <v>75.3333333333333</v>
      </c>
      <c r="K15" s="21" t="str">
        <f t="shared" ca="1" si="9"/>
        <v>C1</v>
      </c>
      <c r="L15" s="21" t="s">
        <v>18</v>
      </c>
    </row>
    <row r="16" spans="2:12" x14ac:dyDescent="0.3">
      <c r="B16" s="21">
        <f t="shared" si="0"/>
        <v>9</v>
      </c>
      <c r="C16" s="11">
        <f t="shared" ca="1" si="1"/>
        <v>44383</v>
      </c>
      <c r="D16" s="21" t="str">
        <f t="shared" ca="1" si="2"/>
        <v>MOTO</v>
      </c>
      <c r="E16" s="21" t="str">
        <f t="shared" ca="1" si="3"/>
        <v>XWGA-3161</v>
      </c>
      <c r="F16" s="19" t="str">
        <f t="shared" ca="1" si="4"/>
        <v>09:14</v>
      </c>
      <c r="G16" s="19" t="str">
        <f t="shared" ca="1" si="5"/>
        <v>12:13</v>
      </c>
      <c r="H16" s="19">
        <f t="shared" ca="1" si="6"/>
        <v>0.12430555555555556</v>
      </c>
      <c r="I16" s="21" t="str">
        <f t="shared" ca="1" si="7"/>
        <v>Cartão</v>
      </c>
      <c r="J16" s="16">
        <f t="shared" ca="1" si="8"/>
        <v>26.85</v>
      </c>
      <c r="K16" s="21" t="str">
        <f t="shared" ca="1" si="9"/>
        <v>C2</v>
      </c>
      <c r="L16" s="21" t="s">
        <v>18</v>
      </c>
    </row>
    <row r="17" spans="2:12" x14ac:dyDescent="0.3">
      <c r="B17" s="21">
        <f t="shared" si="0"/>
        <v>10</v>
      </c>
      <c r="C17" s="11">
        <f t="shared" ca="1" si="1"/>
        <v>44415</v>
      </c>
      <c r="D17" s="21" t="str">
        <f t="shared" ca="1" si="2"/>
        <v>CARRO MÉDIO</v>
      </c>
      <c r="E17" s="21" t="str">
        <f t="shared" ca="1" si="3"/>
        <v>PYTD-2026</v>
      </c>
      <c r="F17" s="19" t="str">
        <f t="shared" ca="1" si="4"/>
        <v>07:37</v>
      </c>
      <c r="G17" s="19" t="str">
        <f t="shared" ca="1" si="5"/>
        <v>15:37</v>
      </c>
      <c r="H17" s="19">
        <f t="shared" ca="1" si="6"/>
        <v>0.33333333333333331</v>
      </c>
      <c r="I17" s="21" t="str">
        <f t="shared" ca="1" si="7"/>
        <v>Cartão</v>
      </c>
      <c r="J17" s="16">
        <f t="shared" ca="1" si="8"/>
        <v>120</v>
      </c>
      <c r="K17" s="21" t="str">
        <f t="shared" ca="1" si="9"/>
        <v>B5</v>
      </c>
      <c r="L17" s="21" t="s">
        <v>18</v>
      </c>
    </row>
    <row r="18" spans="2:12" x14ac:dyDescent="0.3">
      <c r="B18" s="21">
        <f t="shared" si="0"/>
        <v>11</v>
      </c>
      <c r="C18" s="11">
        <f t="shared" ca="1" si="1"/>
        <v>44443</v>
      </c>
      <c r="D18" s="21" t="str">
        <f t="shared" ca="1" si="2"/>
        <v>CARRO MÉDIO</v>
      </c>
      <c r="E18" s="21" t="str">
        <f t="shared" ca="1" si="3"/>
        <v>PMEF-4563</v>
      </c>
      <c r="F18" s="19" t="str">
        <f t="shared" ca="1" si="4"/>
        <v>07:46</v>
      </c>
      <c r="G18" s="19" t="str">
        <f t="shared" ca="1" si="5"/>
        <v>13:58</v>
      </c>
      <c r="H18" s="19">
        <f t="shared" ca="1" si="6"/>
        <v>0.25833333333333336</v>
      </c>
      <c r="I18" s="21" t="str">
        <f t="shared" ca="1" si="7"/>
        <v>Cartão</v>
      </c>
      <c r="J18" s="16">
        <f t="shared" ca="1" si="8"/>
        <v>93.000000000000014</v>
      </c>
      <c r="K18" s="21" t="str">
        <f t="shared" ca="1" si="9"/>
        <v>C3</v>
      </c>
      <c r="L18" s="21" t="s">
        <v>18</v>
      </c>
    </row>
    <row r="19" spans="2:12" x14ac:dyDescent="0.3">
      <c r="B19" s="21">
        <f t="shared" si="0"/>
        <v>12</v>
      </c>
      <c r="C19" s="11">
        <f t="shared" ca="1" si="1"/>
        <v>44433</v>
      </c>
      <c r="D19" s="21" t="str">
        <f t="shared" ca="1" si="2"/>
        <v>CARRO MÉDIO</v>
      </c>
      <c r="E19" s="21" t="str">
        <f t="shared" ca="1" si="3"/>
        <v>MTRG-3419</v>
      </c>
      <c r="F19" s="19" t="str">
        <f t="shared" ca="1" si="4"/>
        <v>11:43</v>
      </c>
      <c r="G19" s="19" t="str">
        <f t="shared" ca="1" si="5"/>
        <v>13:31</v>
      </c>
      <c r="H19" s="19">
        <f t="shared" ca="1" si="6"/>
        <v>7.5000000000000011E-2</v>
      </c>
      <c r="I19" s="21" t="str">
        <f t="shared" ca="1" si="7"/>
        <v>Cartão</v>
      </c>
      <c r="J19" s="16">
        <f t="shared" ca="1" si="8"/>
        <v>27.000000000000004</v>
      </c>
      <c r="K19" s="21" t="str">
        <f t="shared" ca="1" si="9"/>
        <v>C2</v>
      </c>
      <c r="L19" s="21" t="s">
        <v>18</v>
      </c>
    </row>
    <row r="20" spans="2:12" x14ac:dyDescent="0.3">
      <c r="B20" s="21">
        <f t="shared" si="0"/>
        <v>13</v>
      </c>
      <c r="C20" s="11">
        <f t="shared" ca="1" si="1"/>
        <v>44382</v>
      </c>
      <c r="D20" s="21" t="str">
        <f t="shared" ca="1" si="2"/>
        <v>CARRO MÉDIO</v>
      </c>
      <c r="E20" s="21" t="str">
        <f t="shared" ca="1" si="3"/>
        <v>PBLF-9711</v>
      </c>
      <c r="F20" s="19" t="str">
        <f t="shared" ca="1" si="4"/>
        <v>11:12</v>
      </c>
      <c r="G20" s="19" t="str">
        <f t="shared" ca="1" si="5"/>
        <v>13:24</v>
      </c>
      <c r="H20" s="19">
        <f t="shared" ca="1" si="6"/>
        <v>9.166666666666673E-2</v>
      </c>
      <c r="I20" s="21" t="str">
        <f t="shared" ca="1" si="7"/>
        <v>Cartão</v>
      </c>
      <c r="J20" s="16">
        <f t="shared" ca="1" si="8"/>
        <v>33.000000000000021</v>
      </c>
      <c r="K20" s="21" t="str">
        <f t="shared" ca="1" si="9"/>
        <v>B3</v>
      </c>
      <c r="L20" s="21" t="s">
        <v>18</v>
      </c>
    </row>
    <row r="21" spans="2:12" x14ac:dyDescent="0.3">
      <c r="B21" s="21">
        <f t="shared" si="0"/>
        <v>14</v>
      </c>
      <c r="C21" s="11">
        <f t="shared" ca="1" si="1"/>
        <v>44372</v>
      </c>
      <c r="D21" s="21" t="str">
        <f t="shared" ca="1" si="2"/>
        <v>CARRO GRANDE</v>
      </c>
      <c r="E21" s="21" t="str">
        <f t="shared" ca="1" si="3"/>
        <v>SSGN-9560</v>
      </c>
      <c r="F21" s="19" t="str">
        <f t="shared" ca="1" si="4"/>
        <v>10:22</v>
      </c>
      <c r="G21" s="19" t="str">
        <f t="shared" ca="1" si="5"/>
        <v>12:57</v>
      </c>
      <c r="H21" s="19">
        <f t="shared" ca="1" si="6"/>
        <v>0.10763888888888884</v>
      </c>
      <c r="I21" s="21" t="str">
        <f t="shared" ca="1" si="7"/>
        <v>Cartão</v>
      </c>
      <c r="J21" s="16">
        <f t="shared" ca="1" si="8"/>
        <v>51.666666666666643</v>
      </c>
      <c r="K21" s="21" t="str">
        <f t="shared" ca="1" si="9"/>
        <v>B2</v>
      </c>
      <c r="L21" s="21" t="s">
        <v>18</v>
      </c>
    </row>
    <row r="22" spans="2:12" x14ac:dyDescent="0.3">
      <c r="B22" s="21">
        <f t="shared" si="0"/>
        <v>15</v>
      </c>
      <c r="C22" s="11">
        <f t="shared" ca="1" si="1"/>
        <v>44412</v>
      </c>
      <c r="D22" s="21" t="str">
        <f t="shared" ca="1" si="2"/>
        <v>CARRO PEQUENO</v>
      </c>
      <c r="E22" s="21" t="str">
        <f t="shared" ca="1" si="3"/>
        <v>SMKW-4605</v>
      </c>
      <c r="F22" s="19" t="str">
        <f t="shared" ca="1" si="4"/>
        <v>10:50</v>
      </c>
      <c r="G22" s="19" t="str">
        <f t="shared" ca="1" si="5"/>
        <v>12:27</v>
      </c>
      <c r="H22" s="19">
        <f t="shared" ca="1" si="6"/>
        <v>6.7361111111111038E-2</v>
      </c>
      <c r="I22" s="21" t="str">
        <f t="shared" ca="1" si="7"/>
        <v>Dinheiro</v>
      </c>
      <c r="J22" s="16">
        <f t="shared" ca="1" si="8"/>
        <v>19.399999999999977</v>
      </c>
      <c r="K22" s="21" t="str">
        <f t="shared" ca="1" si="9"/>
        <v>B2</v>
      </c>
      <c r="L22" s="21" t="s">
        <v>18</v>
      </c>
    </row>
    <row r="23" spans="2:12" x14ac:dyDescent="0.3">
      <c r="B23" s="21">
        <f t="shared" si="0"/>
        <v>16</v>
      </c>
      <c r="C23" s="11">
        <f t="shared" ca="1" si="1"/>
        <v>44379</v>
      </c>
      <c r="D23" s="21" t="str">
        <f t="shared" ca="1" si="2"/>
        <v>CARRO PEQUENO</v>
      </c>
      <c r="E23" s="21" t="str">
        <f t="shared" ca="1" si="3"/>
        <v>OKYO-9388</v>
      </c>
      <c r="F23" s="19" t="str">
        <f t="shared" ca="1" si="4"/>
        <v>11:37</v>
      </c>
      <c r="G23" s="19" t="str">
        <f t="shared" ca="1" si="5"/>
        <v>12:29</v>
      </c>
      <c r="H23" s="19">
        <f t="shared" ca="1" si="6"/>
        <v>3.6111111111111038E-2</v>
      </c>
      <c r="I23" s="21" t="str">
        <f t="shared" ca="1" si="7"/>
        <v>Dinheiro</v>
      </c>
      <c r="J23" s="16">
        <f t="shared" ca="1" si="8"/>
        <v>10.399999999999979</v>
      </c>
      <c r="K23" s="21" t="str">
        <f t="shared" ca="1" si="9"/>
        <v>B5</v>
      </c>
      <c r="L23" s="21" t="s">
        <v>18</v>
      </c>
    </row>
    <row r="24" spans="2:12" x14ac:dyDescent="0.3">
      <c r="B24" s="21">
        <f t="shared" si="0"/>
        <v>17</v>
      </c>
      <c r="C24" s="11">
        <f t="shared" ca="1" si="1"/>
        <v>44423</v>
      </c>
      <c r="D24" s="21" t="str">
        <f t="shared" ca="1" si="2"/>
        <v>CARRO PEQUENO</v>
      </c>
      <c r="E24" s="21" t="str">
        <f t="shared" ca="1" si="3"/>
        <v>KVXG-9046</v>
      </c>
      <c r="F24" s="19" t="str">
        <f t="shared" ca="1" si="4"/>
        <v>09:19</v>
      </c>
      <c r="G24" s="19" t="str">
        <f t="shared" ca="1" si="5"/>
        <v>12:52</v>
      </c>
      <c r="H24" s="19">
        <f t="shared" ca="1" si="6"/>
        <v>0.14791666666666664</v>
      </c>
      <c r="I24" s="21" t="str">
        <f t="shared" ca="1" si="7"/>
        <v>Dinheiro</v>
      </c>
      <c r="J24" s="16">
        <f t="shared" ca="1" si="8"/>
        <v>42.599999999999994</v>
      </c>
      <c r="K24" s="21" t="str">
        <f t="shared" ca="1" si="9"/>
        <v>C1</v>
      </c>
      <c r="L24" s="21" t="s">
        <v>18</v>
      </c>
    </row>
    <row r="25" spans="2:12" x14ac:dyDescent="0.3">
      <c r="B25" s="21">
        <f t="shared" si="0"/>
        <v>18</v>
      </c>
      <c r="C25" s="11">
        <f t="shared" ca="1" si="1"/>
        <v>44436</v>
      </c>
      <c r="D25" s="21" t="str">
        <f t="shared" ca="1" si="2"/>
        <v>CARRO GRANDE</v>
      </c>
      <c r="E25" s="21" t="str">
        <f t="shared" ca="1" si="3"/>
        <v>ZLIK-9618</v>
      </c>
      <c r="F25" s="19" t="str">
        <f t="shared" ca="1" si="4"/>
        <v>11:32</v>
      </c>
      <c r="G25" s="19" t="str">
        <f t="shared" ca="1" si="5"/>
        <v>13:52</v>
      </c>
      <c r="H25" s="19">
        <f t="shared" ca="1" si="6"/>
        <v>9.7222222222222265E-2</v>
      </c>
      <c r="I25" s="21" t="str">
        <f t="shared" ca="1" si="7"/>
        <v>Cartão</v>
      </c>
      <c r="J25" s="16">
        <f t="shared" ca="1" si="8"/>
        <v>46.666666666666686</v>
      </c>
      <c r="K25" s="21" t="str">
        <f t="shared" ca="1" si="9"/>
        <v>B4</v>
      </c>
      <c r="L25" s="21" t="s">
        <v>18</v>
      </c>
    </row>
    <row r="26" spans="2:12" x14ac:dyDescent="0.3">
      <c r="B26" s="21">
        <f t="shared" si="0"/>
        <v>19</v>
      </c>
      <c r="C26" s="11">
        <f t="shared" ca="1" si="1"/>
        <v>44434</v>
      </c>
      <c r="D26" s="21" t="str">
        <f t="shared" ca="1" si="2"/>
        <v>CARRO PEQUENO</v>
      </c>
      <c r="E26" s="21" t="str">
        <f t="shared" ca="1" si="3"/>
        <v>MRWD-5351</v>
      </c>
      <c r="F26" s="19" t="str">
        <f t="shared" ca="1" si="4"/>
        <v>10:44</v>
      </c>
      <c r="G26" s="19" t="str">
        <f t="shared" ca="1" si="5"/>
        <v>12:38</v>
      </c>
      <c r="H26" s="19">
        <f t="shared" ca="1" si="6"/>
        <v>7.9166666666666718E-2</v>
      </c>
      <c r="I26" s="21" t="str">
        <f t="shared" ca="1" si="7"/>
        <v>Dinheiro</v>
      </c>
      <c r="J26" s="16">
        <f t="shared" ca="1" si="8"/>
        <v>22.800000000000015</v>
      </c>
      <c r="K26" s="21" t="str">
        <f t="shared" ca="1" si="9"/>
        <v>A4</v>
      </c>
      <c r="L26" s="21" t="s">
        <v>18</v>
      </c>
    </row>
    <row r="27" spans="2:12" x14ac:dyDescent="0.3">
      <c r="B27" s="21">
        <f t="shared" si="0"/>
        <v>20</v>
      </c>
      <c r="C27" s="11">
        <f t="shared" ca="1" si="1"/>
        <v>44454</v>
      </c>
      <c r="D27" s="21" t="str">
        <f t="shared" ca="1" si="2"/>
        <v>CARRO MÉDIO</v>
      </c>
      <c r="E27" s="21" t="str">
        <f t="shared" ca="1" si="3"/>
        <v>OVXX-2270</v>
      </c>
      <c r="F27" s="19" t="str">
        <f t="shared" ca="1" si="4"/>
        <v>10:07</v>
      </c>
      <c r="G27" s="19" t="str">
        <f t="shared" ca="1" si="5"/>
        <v>14:42</v>
      </c>
      <c r="H27" s="19">
        <f t="shared" ca="1" si="6"/>
        <v>0.19097222222222215</v>
      </c>
      <c r="I27" s="21" t="str">
        <f t="shared" ca="1" si="7"/>
        <v>Cartão</v>
      </c>
      <c r="J27" s="16">
        <f t="shared" ca="1" si="8"/>
        <v>68.749999999999986</v>
      </c>
      <c r="K27" s="21" t="str">
        <f t="shared" ca="1" si="9"/>
        <v>A2</v>
      </c>
      <c r="L27" s="21" t="s">
        <v>18</v>
      </c>
    </row>
    <row r="28" spans="2:12" x14ac:dyDescent="0.3">
      <c r="B28" s="21">
        <f t="shared" si="0"/>
        <v>21</v>
      </c>
      <c r="C28" s="11">
        <f t="shared" ca="1" si="1"/>
        <v>44418</v>
      </c>
      <c r="D28" s="21" t="str">
        <f t="shared" ca="1" si="2"/>
        <v>CARRO GRANDE</v>
      </c>
      <c r="E28" s="21" t="str">
        <f t="shared" ca="1" si="3"/>
        <v>WEQI-1251</v>
      </c>
      <c r="F28" s="19" t="str">
        <f t="shared" ca="1" si="4"/>
        <v>10:32</v>
      </c>
      <c r="G28" s="19" t="str">
        <f t="shared" ca="1" si="5"/>
        <v>12:16</v>
      </c>
      <c r="H28" s="19">
        <f t="shared" ca="1" si="6"/>
        <v>7.2222222222222299E-2</v>
      </c>
      <c r="I28" s="21" t="str">
        <f t="shared" ca="1" si="7"/>
        <v>Cartão</v>
      </c>
      <c r="J28" s="16">
        <f t="shared" ca="1" si="8"/>
        <v>34.6666666666667</v>
      </c>
      <c r="K28" s="21" t="str">
        <f t="shared" ca="1" si="9"/>
        <v>B3</v>
      </c>
      <c r="L28" s="21" t="s">
        <v>18</v>
      </c>
    </row>
    <row r="29" spans="2:12" x14ac:dyDescent="0.3">
      <c r="B29" s="21">
        <f t="shared" si="0"/>
        <v>22</v>
      </c>
      <c r="C29" s="11">
        <f t="shared" ca="1" si="1"/>
        <v>44426</v>
      </c>
      <c r="D29" s="21" t="str">
        <f t="shared" ca="1" si="2"/>
        <v>CARRO MÉDIO</v>
      </c>
      <c r="E29" s="21" t="str">
        <f t="shared" ca="1" si="3"/>
        <v>YCHZ-1188</v>
      </c>
      <c r="F29" s="19" t="str">
        <f t="shared" ca="1" si="4"/>
        <v>10:04</v>
      </c>
      <c r="G29" s="19" t="str">
        <f t="shared" ca="1" si="5"/>
        <v>15:58</v>
      </c>
      <c r="H29" s="19">
        <f t="shared" ca="1" si="6"/>
        <v>0.24583333333333329</v>
      </c>
      <c r="I29" s="21" t="str">
        <f t="shared" ca="1" si="7"/>
        <v>Dinheiro</v>
      </c>
      <c r="J29" s="16">
        <f t="shared" ca="1" si="8"/>
        <v>88.499999999999972</v>
      </c>
      <c r="K29" s="21" t="str">
        <f t="shared" ca="1" si="9"/>
        <v>A3</v>
      </c>
      <c r="L29" s="21" t="s">
        <v>18</v>
      </c>
    </row>
    <row r="30" spans="2:12" x14ac:dyDescent="0.3">
      <c r="B30" s="21">
        <f t="shared" si="0"/>
        <v>23</v>
      </c>
      <c r="C30" s="11">
        <f t="shared" ca="1" si="1"/>
        <v>44465</v>
      </c>
      <c r="D30" s="21" t="str">
        <f t="shared" ca="1" si="2"/>
        <v>CARRO MÉDIO</v>
      </c>
      <c r="E30" s="21" t="str">
        <f t="shared" ca="1" si="3"/>
        <v>MBID-3202</v>
      </c>
      <c r="F30" s="19" t="str">
        <f t="shared" ca="1" si="4"/>
        <v>11:14</v>
      </c>
      <c r="G30" s="19" t="str">
        <f t="shared" ca="1" si="5"/>
        <v>13:24</v>
      </c>
      <c r="H30" s="19">
        <f t="shared" ca="1" si="6"/>
        <v>9.0277777777777846E-2</v>
      </c>
      <c r="I30" s="21" t="str">
        <f t="shared" ca="1" si="7"/>
        <v>Dinheiro</v>
      </c>
      <c r="J30" s="16">
        <f t="shared" ca="1" si="8"/>
        <v>32.500000000000021</v>
      </c>
      <c r="K30" s="21" t="str">
        <f t="shared" ca="1" si="9"/>
        <v>A5</v>
      </c>
      <c r="L30" s="21" t="s">
        <v>18</v>
      </c>
    </row>
    <row r="31" spans="2:12" x14ac:dyDescent="0.3">
      <c r="B31" s="21">
        <f t="shared" si="0"/>
        <v>24</v>
      </c>
      <c r="C31" s="11">
        <f t="shared" ca="1" si="1"/>
        <v>44443</v>
      </c>
      <c r="D31" s="21" t="str">
        <f t="shared" ca="1" si="2"/>
        <v>MOTO</v>
      </c>
      <c r="E31" s="21" t="str">
        <f t="shared" ca="1" si="3"/>
        <v>KEII-8149</v>
      </c>
      <c r="F31" s="19" t="str">
        <f t="shared" ca="1" si="4"/>
        <v>09:49</v>
      </c>
      <c r="G31" s="19" t="str">
        <f t="shared" ca="1" si="5"/>
        <v>12:18</v>
      </c>
      <c r="H31" s="19">
        <f t="shared" ca="1" si="6"/>
        <v>0.1034722222222223</v>
      </c>
      <c r="I31" s="21" t="str">
        <f t="shared" ca="1" si="7"/>
        <v>Cartão</v>
      </c>
      <c r="J31" s="16">
        <f t="shared" ca="1" si="8"/>
        <v>22.350000000000016</v>
      </c>
      <c r="K31" s="21" t="str">
        <f t="shared" ca="1" si="9"/>
        <v>C1</v>
      </c>
      <c r="L31" s="21" t="s">
        <v>18</v>
      </c>
    </row>
    <row r="32" spans="2:12" x14ac:dyDescent="0.3">
      <c r="B32" s="21">
        <f t="shared" si="0"/>
        <v>25</v>
      </c>
      <c r="C32" s="11">
        <f t="shared" ca="1" si="1"/>
        <v>44444</v>
      </c>
      <c r="D32" s="21" t="str">
        <f t="shared" ca="1" si="2"/>
        <v>CARRO GRANDE</v>
      </c>
      <c r="E32" s="21" t="str">
        <f t="shared" ca="1" si="3"/>
        <v>GMLG-2060</v>
      </c>
      <c r="F32" s="19" t="str">
        <f t="shared" ca="1" si="4"/>
        <v>08:08</v>
      </c>
      <c r="G32" s="19" t="str">
        <f t="shared" ca="1" si="5"/>
        <v>13:23</v>
      </c>
      <c r="H32" s="19">
        <f t="shared" ca="1" si="6"/>
        <v>0.21875000000000006</v>
      </c>
      <c r="I32" s="21" t="str">
        <f t="shared" ca="1" si="7"/>
        <v>Dinheiro</v>
      </c>
      <c r="J32" s="16">
        <f t="shared" ca="1" si="8"/>
        <v>105.00000000000003</v>
      </c>
      <c r="K32" s="21" t="str">
        <f t="shared" ca="1" si="9"/>
        <v>C4</v>
      </c>
      <c r="L32" s="21" t="s">
        <v>18</v>
      </c>
    </row>
    <row r="33" spans="2:12" x14ac:dyDescent="0.3">
      <c r="B33" s="21">
        <f t="shared" si="0"/>
        <v>26</v>
      </c>
      <c r="C33" s="11">
        <f t="shared" ca="1" si="1"/>
        <v>44354</v>
      </c>
      <c r="D33" s="21" t="str">
        <f t="shared" ca="1" si="2"/>
        <v>CARRO GRANDE</v>
      </c>
      <c r="E33" s="21" t="str">
        <f t="shared" ca="1" si="3"/>
        <v>RHCB-5921</v>
      </c>
      <c r="F33" s="19" t="str">
        <f t="shared" ca="1" si="4"/>
        <v>11:59</v>
      </c>
      <c r="G33" s="19" t="str">
        <f t="shared" ca="1" si="5"/>
        <v>12:22</v>
      </c>
      <c r="H33" s="19">
        <f t="shared" ca="1" si="6"/>
        <v>1.5972222222222332E-2</v>
      </c>
      <c r="I33" s="21" t="str">
        <f t="shared" ca="1" si="7"/>
        <v>Cartão</v>
      </c>
      <c r="J33" s="16">
        <f t="shared" ca="1" si="8"/>
        <v>7.6666666666667194</v>
      </c>
      <c r="K33" s="21" t="str">
        <f t="shared" ca="1" si="9"/>
        <v>C1</v>
      </c>
      <c r="L33" s="21" t="s">
        <v>18</v>
      </c>
    </row>
    <row r="34" spans="2:12" x14ac:dyDescent="0.3">
      <c r="B34" s="21">
        <f t="shared" si="0"/>
        <v>27</v>
      </c>
      <c r="C34" s="11">
        <f t="shared" ca="1" si="1"/>
        <v>44379</v>
      </c>
      <c r="D34" s="21" t="str">
        <f t="shared" ca="1" si="2"/>
        <v>CARRO GRANDE</v>
      </c>
      <c r="E34" s="21" t="str">
        <f t="shared" ca="1" si="3"/>
        <v>LAEC-8407</v>
      </c>
      <c r="F34" s="19" t="str">
        <f t="shared" ca="1" si="4"/>
        <v>07:49</v>
      </c>
      <c r="G34" s="19" t="str">
        <f t="shared" ca="1" si="5"/>
        <v>12:21</v>
      </c>
      <c r="H34" s="19">
        <f t="shared" ca="1" si="6"/>
        <v>0.18888888888888883</v>
      </c>
      <c r="I34" s="21" t="str">
        <f t="shared" ca="1" si="7"/>
        <v>Dinheiro</v>
      </c>
      <c r="J34" s="16">
        <f t="shared" ca="1" si="8"/>
        <v>90.666666666666629</v>
      </c>
      <c r="K34" s="21" t="str">
        <f t="shared" ca="1" si="9"/>
        <v>B1</v>
      </c>
      <c r="L34" s="21" t="s">
        <v>18</v>
      </c>
    </row>
    <row r="35" spans="2:12" x14ac:dyDescent="0.3">
      <c r="B35" s="21">
        <f t="shared" si="0"/>
        <v>28</v>
      </c>
      <c r="C35" s="11">
        <f t="shared" ca="1" si="1"/>
        <v>44375</v>
      </c>
      <c r="D35" s="21" t="str">
        <f t="shared" ca="1" si="2"/>
        <v>MOTO</v>
      </c>
      <c r="E35" s="21" t="str">
        <f t="shared" ca="1" si="3"/>
        <v>AYZY-1915</v>
      </c>
      <c r="F35" s="19" t="str">
        <f t="shared" ca="1" si="4"/>
        <v>09:29</v>
      </c>
      <c r="G35" s="19" t="str">
        <f t="shared" ca="1" si="5"/>
        <v>14:36</v>
      </c>
      <c r="H35" s="19">
        <f t="shared" ca="1" si="6"/>
        <v>0.21319444444444441</v>
      </c>
      <c r="I35" s="21" t="str">
        <f t="shared" ca="1" si="7"/>
        <v>Dinheiro</v>
      </c>
      <c r="J35" s="16">
        <f t="shared" ca="1" si="8"/>
        <v>46.04999999999999</v>
      </c>
      <c r="K35" s="21" t="str">
        <f t="shared" ca="1" si="9"/>
        <v>A4</v>
      </c>
      <c r="L35" s="21" t="s">
        <v>18</v>
      </c>
    </row>
    <row r="36" spans="2:12" x14ac:dyDescent="0.3">
      <c r="B36" s="21">
        <f t="shared" si="0"/>
        <v>29</v>
      </c>
      <c r="C36" s="11">
        <f t="shared" ca="1" si="1"/>
        <v>44376</v>
      </c>
      <c r="D36" s="21" t="str">
        <f t="shared" ca="1" si="2"/>
        <v>CARRO GRANDE</v>
      </c>
      <c r="E36" s="21" t="str">
        <f t="shared" ca="1" si="3"/>
        <v>CGPU-5560</v>
      </c>
      <c r="F36" s="19" t="str">
        <f t="shared" ca="1" si="4"/>
        <v>11:08</v>
      </c>
      <c r="G36" s="19" t="str">
        <f t="shared" ca="1" si="5"/>
        <v>14:35</v>
      </c>
      <c r="H36" s="19">
        <f t="shared" ca="1" si="6"/>
        <v>0.1437500000000001</v>
      </c>
      <c r="I36" s="21" t="str">
        <f t="shared" ca="1" si="7"/>
        <v>Dinheiro</v>
      </c>
      <c r="J36" s="16">
        <f t="shared" ca="1" si="8"/>
        <v>69.000000000000043</v>
      </c>
      <c r="K36" s="21" t="str">
        <f t="shared" ca="1" si="9"/>
        <v>C2</v>
      </c>
      <c r="L36" s="21" t="s">
        <v>18</v>
      </c>
    </row>
    <row r="37" spans="2:12" x14ac:dyDescent="0.3">
      <c r="B37" s="21">
        <f t="shared" si="0"/>
        <v>30</v>
      </c>
      <c r="C37" s="11">
        <f t="shared" ca="1" si="1"/>
        <v>44435</v>
      </c>
      <c r="D37" s="21" t="str">
        <f t="shared" ca="1" si="2"/>
        <v>CARRO PEQUENO</v>
      </c>
      <c r="E37" s="21" t="str">
        <f t="shared" ca="1" si="3"/>
        <v>XVXL-8166</v>
      </c>
      <c r="F37" s="19" t="str">
        <f t="shared" ca="1" si="4"/>
        <v>07:41</v>
      </c>
      <c r="G37" s="19" t="str">
        <f t="shared" ca="1" si="5"/>
        <v>12:54</v>
      </c>
      <c r="H37" s="19">
        <f t="shared" ca="1" si="6"/>
        <v>0.21736111111111106</v>
      </c>
      <c r="I37" s="21" t="str">
        <f t="shared" ca="1" si="7"/>
        <v>Cartão</v>
      </c>
      <c r="J37" s="16">
        <f t="shared" ca="1" si="8"/>
        <v>62.59999999999998</v>
      </c>
      <c r="K37" s="21" t="str">
        <f t="shared" ca="1" si="9"/>
        <v>A4</v>
      </c>
      <c r="L37" s="21" t="s">
        <v>18</v>
      </c>
    </row>
    <row r="38" spans="2:12" x14ac:dyDescent="0.3">
      <c r="B38" s="21">
        <f t="shared" si="0"/>
        <v>31</v>
      </c>
      <c r="C38" s="11">
        <f t="shared" ca="1" si="1"/>
        <v>44457</v>
      </c>
      <c r="D38" s="21" t="str">
        <f t="shared" ca="1" si="2"/>
        <v>MOTO</v>
      </c>
      <c r="E38" s="21" t="str">
        <f t="shared" ca="1" si="3"/>
        <v>PEDL-7109</v>
      </c>
      <c r="F38" s="19" t="str">
        <f t="shared" ca="1" si="4"/>
        <v>10:22</v>
      </c>
      <c r="G38" s="19" t="str">
        <f t="shared" ca="1" si="5"/>
        <v>13:56</v>
      </c>
      <c r="H38" s="19">
        <f t="shared" ca="1" si="6"/>
        <v>0.14861111111111114</v>
      </c>
      <c r="I38" s="21" t="str">
        <f t="shared" ca="1" si="7"/>
        <v>Dinheiro</v>
      </c>
      <c r="J38" s="16">
        <f t="shared" ca="1" si="8"/>
        <v>32.100000000000009</v>
      </c>
      <c r="K38" s="21" t="str">
        <f t="shared" ca="1" si="9"/>
        <v>A1</v>
      </c>
      <c r="L38" s="21" t="s">
        <v>18</v>
      </c>
    </row>
    <row r="39" spans="2:12" x14ac:dyDescent="0.3">
      <c r="B39" s="21">
        <f t="shared" si="0"/>
        <v>32</v>
      </c>
      <c r="C39" s="11">
        <f t="shared" ca="1" si="1"/>
        <v>44413</v>
      </c>
      <c r="D39" s="21" t="str">
        <f t="shared" ca="1" si="2"/>
        <v>CARRO GRANDE</v>
      </c>
      <c r="E39" s="21" t="str">
        <f t="shared" ca="1" si="3"/>
        <v>CDZL-1623</v>
      </c>
      <c r="F39" s="19" t="str">
        <f t="shared" ca="1" si="4"/>
        <v>09:15</v>
      </c>
      <c r="G39" s="19" t="str">
        <f t="shared" ca="1" si="5"/>
        <v>13:30</v>
      </c>
      <c r="H39" s="19">
        <f t="shared" ca="1" si="6"/>
        <v>0.17708333333333331</v>
      </c>
      <c r="I39" s="21" t="str">
        <f t="shared" ca="1" si="7"/>
        <v>Dinheiro</v>
      </c>
      <c r="J39" s="16">
        <f t="shared" ca="1" si="8"/>
        <v>85</v>
      </c>
      <c r="K39" s="21" t="str">
        <f t="shared" ca="1" si="9"/>
        <v>A2</v>
      </c>
      <c r="L39" s="21" t="s">
        <v>18</v>
      </c>
    </row>
    <row r="40" spans="2:12" x14ac:dyDescent="0.3">
      <c r="B40" s="21">
        <f t="shared" si="0"/>
        <v>33</v>
      </c>
      <c r="C40" s="11">
        <f t="shared" ca="1" si="1"/>
        <v>44391</v>
      </c>
      <c r="D40" s="21" t="str">
        <f t="shared" ca="1" si="2"/>
        <v>CARRO PEQUENO</v>
      </c>
      <c r="E40" s="21" t="str">
        <f t="shared" ca="1" si="3"/>
        <v>TUSC-7661</v>
      </c>
      <c r="F40" s="19" t="str">
        <f t="shared" ca="1" si="4"/>
        <v>08:03</v>
      </c>
      <c r="G40" s="19" t="str">
        <f t="shared" ca="1" si="5"/>
        <v>13:30</v>
      </c>
      <c r="H40" s="19">
        <f t="shared" ca="1" si="6"/>
        <v>0.2270833333333333</v>
      </c>
      <c r="I40" s="21" t="str">
        <f t="shared" ca="1" si="7"/>
        <v>Cartão</v>
      </c>
      <c r="J40" s="16">
        <f t="shared" ca="1" si="8"/>
        <v>65.399999999999991</v>
      </c>
      <c r="K40" s="21" t="str">
        <f t="shared" ca="1" si="9"/>
        <v>C1</v>
      </c>
      <c r="L40" s="21" t="s">
        <v>18</v>
      </c>
    </row>
    <row r="41" spans="2:12" x14ac:dyDescent="0.3">
      <c r="B41" s="21">
        <f t="shared" si="0"/>
        <v>34</v>
      </c>
      <c r="C41" s="11">
        <f t="shared" ca="1" si="1"/>
        <v>44434</v>
      </c>
      <c r="D41" s="21" t="str">
        <f t="shared" ca="1" si="2"/>
        <v>CARRO MÉDIO</v>
      </c>
      <c r="E41" s="21" t="str">
        <f t="shared" ca="1" si="3"/>
        <v>CRMD-8123</v>
      </c>
      <c r="F41" s="19" t="str">
        <f t="shared" ca="1" si="4"/>
        <v>09:09</v>
      </c>
      <c r="G41" s="19" t="str">
        <f t="shared" ca="1" si="5"/>
        <v>14:20</v>
      </c>
      <c r="H41" s="19">
        <f t="shared" ca="1" si="6"/>
        <v>0.21597222222222218</v>
      </c>
      <c r="I41" s="21" t="str">
        <f t="shared" ca="1" si="7"/>
        <v>Dinheiro</v>
      </c>
      <c r="J41" s="16">
        <f t="shared" ca="1" si="8"/>
        <v>77.749999999999972</v>
      </c>
      <c r="K41" s="21" t="str">
        <f t="shared" ca="1" si="9"/>
        <v>B4</v>
      </c>
      <c r="L41" s="21" t="s">
        <v>18</v>
      </c>
    </row>
    <row r="42" spans="2:12" x14ac:dyDescent="0.3">
      <c r="B42" s="21">
        <f t="shared" si="0"/>
        <v>35</v>
      </c>
      <c r="C42" s="11">
        <f t="shared" ca="1" si="1"/>
        <v>44365</v>
      </c>
      <c r="D42" s="21" t="str">
        <f t="shared" ca="1" si="2"/>
        <v>CARRO PEQUENO</v>
      </c>
      <c r="E42" s="21" t="str">
        <f t="shared" ca="1" si="3"/>
        <v>BAOS-4245</v>
      </c>
      <c r="F42" s="19" t="str">
        <f t="shared" ca="1" si="4"/>
        <v>07:29</v>
      </c>
      <c r="G42" s="19" t="str">
        <f t="shared" ca="1" si="5"/>
        <v>12:28</v>
      </c>
      <c r="H42" s="19">
        <f t="shared" ca="1" si="6"/>
        <v>0.20763888888888893</v>
      </c>
      <c r="I42" s="21" t="str">
        <f t="shared" ca="1" si="7"/>
        <v>Cartão</v>
      </c>
      <c r="J42" s="16">
        <f t="shared" ca="1" si="8"/>
        <v>59.800000000000011</v>
      </c>
      <c r="K42" s="21" t="str">
        <f t="shared" ca="1" si="9"/>
        <v>B3</v>
      </c>
      <c r="L42" s="21" t="s">
        <v>18</v>
      </c>
    </row>
    <row r="43" spans="2:12" x14ac:dyDescent="0.3">
      <c r="B43" s="21">
        <f t="shared" si="0"/>
        <v>36</v>
      </c>
      <c r="C43" s="11">
        <f t="shared" ca="1" si="1"/>
        <v>44455</v>
      </c>
      <c r="D43" s="21" t="str">
        <f t="shared" ca="1" si="2"/>
        <v>CARRO PEQUENO</v>
      </c>
      <c r="E43" s="21" t="str">
        <f t="shared" ca="1" si="3"/>
        <v>XNAG-8848</v>
      </c>
      <c r="F43" s="19" t="str">
        <f t="shared" ca="1" si="4"/>
        <v>11:29</v>
      </c>
      <c r="G43" s="19" t="str">
        <f t="shared" ca="1" si="5"/>
        <v>13:09</v>
      </c>
      <c r="H43" s="19">
        <f t="shared" ca="1" si="6"/>
        <v>6.9444444444444531E-2</v>
      </c>
      <c r="I43" s="21" t="str">
        <f t="shared" ca="1" si="7"/>
        <v>Dinheiro</v>
      </c>
      <c r="J43" s="16">
        <f t="shared" ca="1" si="8"/>
        <v>20.000000000000025</v>
      </c>
      <c r="K43" s="21" t="str">
        <f t="shared" ca="1" si="9"/>
        <v>A3</v>
      </c>
      <c r="L43" s="21" t="s">
        <v>18</v>
      </c>
    </row>
    <row r="44" spans="2:12" x14ac:dyDescent="0.3">
      <c r="B44" s="21">
        <f t="shared" si="0"/>
        <v>37</v>
      </c>
      <c r="C44" s="11">
        <f t="shared" ca="1" si="1"/>
        <v>44440</v>
      </c>
      <c r="D44" s="21" t="str">
        <f t="shared" ca="1" si="2"/>
        <v>MOTO</v>
      </c>
      <c r="E44" s="21" t="str">
        <f t="shared" ca="1" si="3"/>
        <v>SWRE-3594</v>
      </c>
      <c r="F44" s="19" t="str">
        <f t="shared" ca="1" si="4"/>
        <v>09:29</v>
      </c>
      <c r="G44" s="19" t="str">
        <f t="shared" ca="1" si="5"/>
        <v>12:32</v>
      </c>
      <c r="H44" s="19">
        <f t="shared" ca="1" si="6"/>
        <v>0.12708333333333338</v>
      </c>
      <c r="I44" s="21" t="str">
        <f t="shared" ca="1" si="7"/>
        <v>Dinheiro</v>
      </c>
      <c r="J44" s="16">
        <f t="shared" ca="1" si="8"/>
        <v>27.45000000000001</v>
      </c>
      <c r="K44" s="21" t="str">
        <f t="shared" ca="1" si="9"/>
        <v>C3</v>
      </c>
      <c r="L44" s="21" t="s">
        <v>18</v>
      </c>
    </row>
    <row r="45" spans="2:12" x14ac:dyDescent="0.3">
      <c r="B45" s="21">
        <f t="shared" si="0"/>
        <v>38</v>
      </c>
      <c r="C45" s="11">
        <f t="shared" ca="1" si="1"/>
        <v>44418</v>
      </c>
      <c r="D45" s="21" t="str">
        <f t="shared" ca="1" si="2"/>
        <v>CARRO MÉDIO</v>
      </c>
      <c r="E45" s="21" t="str">
        <f t="shared" ca="1" si="3"/>
        <v>XANT-7398</v>
      </c>
      <c r="F45" s="19" t="str">
        <f t="shared" ca="1" si="4"/>
        <v>10:03</v>
      </c>
      <c r="G45" s="19" t="str">
        <f t="shared" ca="1" si="5"/>
        <v>15:37</v>
      </c>
      <c r="H45" s="19">
        <f t="shared" ca="1" si="6"/>
        <v>0.23194444444444445</v>
      </c>
      <c r="I45" s="21" t="str">
        <f t="shared" ca="1" si="7"/>
        <v>Cartão</v>
      </c>
      <c r="J45" s="16">
        <f t="shared" ca="1" si="8"/>
        <v>83.5</v>
      </c>
      <c r="K45" s="21" t="str">
        <f t="shared" ca="1" si="9"/>
        <v>C5</v>
      </c>
      <c r="L45" s="21" t="s">
        <v>18</v>
      </c>
    </row>
    <row r="46" spans="2:12" x14ac:dyDescent="0.3">
      <c r="B46" s="21">
        <f t="shared" si="0"/>
        <v>39</v>
      </c>
      <c r="C46" s="11">
        <f t="shared" ca="1" si="1"/>
        <v>44453</v>
      </c>
      <c r="D46" s="21" t="str">
        <f t="shared" ca="1" si="2"/>
        <v>MOTO</v>
      </c>
      <c r="E46" s="21" t="str">
        <f t="shared" ca="1" si="3"/>
        <v>NTQZ-9195</v>
      </c>
      <c r="F46" s="19" t="str">
        <f t="shared" ca="1" si="4"/>
        <v>08:45</v>
      </c>
      <c r="G46" s="19" t="str">
        <f t="shared" ca="1" si="5"/>
        <v>13:05</v>
      </c>
      <c r="H46" s="19">
        <f t="shared" ca="1" si="6"/>
        <v>0.18055555555555564</v>
      </c>
      <c r="I46" s="21" t="str">
        <f t="shared" ca="1" si="7"/>
        <v>Dinheiro</v>
      </c>
      <c r="J46" s="16">
        <f t="shared" ca="1" si="8"/>
        <v>39.000000000000021</v>
      </c>
      <c r="K46" s="21" t="str">
        <f t="shared" ca="1" si="9"/>
        <v>A5</v>
      </c>
      <c r="L46" s="21" t="s">
        <v>18</v>
      </c>
    </row>
    <row r="47" spans="2:12" x14ac:dyDescent="0.3">
      <c r="B47" s="21">
        <f t="shared" si="0"/>
        <v>40</v>
      </c>
      <c r="C47" s="11">
        <f t="shared" ca="1" si="1"/>
        <v>44391</v>
      </c>
      <c r="D47" s="21" t="str">
        <f t="shared" ca="1" si="2"/>
        <v>CARRO MÉDIO</v>
      </c>
      <c r="E47" s="21" t="str">
        <f t="shared" ca="1" si="3"/>
        <v>ITXX-9261</v>
      </c>
      <c r="F47" s="19" t="str">
        <f t="shared" ca="1" si="4"/>
        <v>10:27</v>
      </c>
      <c r="G47" s="19" t="str">
        <f t="shared" ca="1" si="5"/>
        <v>15:22</v>
      </c>
      <c r="H47" s="19">
        <f t="shared" ca="1" si="6"/>
        <v>0.20486111111111122</v>
      </c>
      <c r="I47" s="21" t="str">
        <f t="shared" ca="1" si="7"/>
        <v>Cartão</v>
      </c>
      <c r="J47" s="16">
        <f t="shared" ca="1" si="8"/>
        <v>73.750000000000043</v>
      </c>
      <c r="K47" s="21" t="str">
        <f t="shared" ca="1" si="9"/>
        <v>C5</v>
      </c>
      <c r="L47" s="21" t="s">
        <v>18</v>
      </c>
    </row>
    <row r="48" spans="2:12" x14ac:dyDescent="0.3">
      <c r="B48" s="21">
        <f t="shared" si="0"/>
        <v>41</v>
      </c>
      <c r="C48" s="11">
        <f t="shared" ca="1" si="1"/>
        <v>44463</v>
      </c>
      <c r="D48" s="21" t="str">
        <f t="shared" ca="1" si="2"/>
        <v>MOTO</v>
      </c>
      <c r="E48" s="21" t="str">
        <f t="shared" ca="1" si="3"/>
        <v>JHSZ-1580</v>
      </c>
      <c r="F48" s="19" t="str">
        <f t="shared" ca="1" si="4"/>
        <v>07:07</v>
      </c>
      <c r="G48" s="19" t="str">
        <f t="shared" ca="1" si="5"/>
        <v>15:59</v>
      </c>
      <c r="H48" s="19">
        <f t="shared" ca="1" si="6"/>
        <v>0.36944444444444441</v>
      </c>
      <c r="I48" s="21" t="str">
        <f t="shared" ca="1" si="7"/>
        <v>Cartão</v>
      </c>
      <c r="J48" s="16">
        <f t="shared" ca="1" si="8"/>
        <v>79.799999999999983</v>
      </c>
      <c r="K48" s="21" t="str">
        <f t="shared" ca="1" si="9"/>
        <v>C3</v>
      </c>
      <c r="L48" s="21" t="s">
        <v>18</v>
      </c>
    </row>
    <row r="49" spans="2:12" x14ac:dyDescent="0.3">
      <c r="B49" s="21">
        <f t="shared" si="0"/>
        <v>42</v>
      </c>
      <c r="C49" s="11">
        <f t="shared" ca="1" si="1"/>
        <v>44359</v>
      </c>
      <c r="D49" s="21" t="str">
        <f t="shared" ca="1" si="2"/>
        <v>CARRO GRANDE</v>
      </c>
      <c r="E49" s="21" t="str">
        <f t="shared" ca="1" si="3"/>
        <v>DVCM-9605</v>
      </c>
      <c r="F49" s="19" t="str">
        <f t="shared" ca="1" si="4"/>
        <v>07:31</v>
      </c>
      <c r="G49" s="19" t="str">
        <f t="shared" ca="1" si="5"/>
        <v>14:06</v>
      </c>
      <c r="H49" s="19">
        <f t="shared" ca="1" si="6"/>
        <v>0.27430555555555558</v>
      </c>
      <c r="I49" s="21" t="str">
        <f t="shared" ca="1" si="7"/>
        <v>Cartão</v>
      </c>
      <c r="J49" s="16">
        <f t="shared" ca="1" si="8"/>
        <v>131.66666666666669</v>
      </c>
      <c r="K49" s="21" t="str">
        <f t="shared" ca="1" si="9"/>
        <v>B4</v>
      </c>
      <c r="L49" s="21" t="s">
        <v>18</v>
      </c>
    </row>
    <row r="50" spans="2:12" x14ac:dyDescent="0.3">
      <c r="B50" s="21">
        <f t="shared" si="0"/>
        <v>43</v>
      </c>
      <c r="C50" s="11">
        <f t="shared" ca="1" si="1"/>
        <v>44370</v>
      </c>
      <c r="D50" s="21" t="str">
        <f t="shared" ca="1" si="2"/>
        <v>MOTO</v>
      </c>
      <c r="E50" s="21" t="str">
        <f t="shared" ca="1" si="3"/>
        <v>WWFX-4560</v>
      </c>
      <c r="F50" s="19" t="str">
        <f t="shared" ca="1" si="4"/>
        <v>07:41</v>
      </c>
      <c r="G50" s="19" t="str">
        <f t="shared" ca="1" si="5"/>
        <v>13:20</v>
      </c>
      <c r="H50" s="19">
        <f t="shared" ca="1" si="6"/>
        <v>0.23541666666666666</v>
      </c>
      <c r="I50" s="21" t="str">
        <f t="shared" ca="1" si="7"/>
        <v>Dinheiro</v>
      </c>
      <c r="J50" s="16">
        <f t="shared" ca="1" si="8"/>
        <v>50.85</v>
      </c>
      <c r="K50" s="21" t="str">
        <f t="shared" ca="1" si="9"/>
        <v>C2</v>
      </c>
      <c r="L50" s="21" t="s">
        <v>18</v>
      </c>
    </row>
    <row r="51" spans="2:12" x14ac:dyDescent="0.3">
      <c r="B51" s="21">
        <f t="shared" si="0"/>
        <v>44</v>
      </c>
      <c r="C51" s="11">
        <f t="shared" ca="1" si="1"/>
        <v>44465</v>
      </c>
      <c r="D51" s="21" t="str">
        <f t="shared" ca="1" si="2"/>
        <v>MOTO</v>
      </c>
      <c r="E51" s="21" t="str">
        <f t="shared" ca="1" si="3"/>
        <v>KSNX-3586</v>
      </c>
      <c r="F51" s="19" t="str">
        <f t="shared" ca="1" si="4"/>
        <v>11:18</v>
      </c>
      <c r="G51" s="19" t="str">
        <f t="shared" ca="1" si="5"/>
        <v>15:42</v>
      </c>
      <c r="H51" s="19">
        <f t="shared" ca="1" si="6"/>
        <v>0.18333333333333329</v>
      </c>
      <c r="I51" s="21" t="str">
        <f t="shared" ca="1" si="7"/>
        <v>Cartão</v>
      </c>
      <c r="J51" s="16">
        <f t="shared" ca="1" si="8"/>
        <v>39.599999999999987</v>
      </c>
      <c r="K51" s="21" t="str">
        <f t="shared" ca="1" si="9"/>
        <v>C3</v>
      </c>
      <c r="L51" s="21" t="s">
        <v>18</v>
      </c>
    </row>
    <row r="52" spans="2:12" x14ac:dyDescent="0.3">
      <c r="B52" s="21">
        <f t="shared" si="0"/>
        <v>45</v>
      </c>
      <c r="C52" s="11">
        <f t="shared" ca="1" si="1"/>
        <v>44466</v>
      </c>
      <c r="D52" s="21" t="str">
        <f t="shared" ca="1" si="2"/>
        <v>CARRO PEQUENO</v>
      </c>
      <c r="E52" s="21" t="str">
        <f t="shared" ca="1" si="3"/>
        <v>ABWX-5221</v>
      </c>
      <c r="F52" s="19" t="str">
        <f t="shared" ca="1" si="4"/>
        <v>07:47</v>
      </c>
      <c r="G52" s="19" t="str">
        <f t="shared" ca="1" si="5"/>
        <v>15:19</v>
      </c>
      <c r="H52" s="19">
        <f t="shared" ca="1" si="6"/>
        <v>0.31388888888888883</v>
      </c>
      <c r="I52" s="21" t="str">
        <f t="shared" ca="1" si="7"/>
        <v>Cartão</v>
      </c>
      <c r="J52" s="16">
        <f t="shared" ca="1" si="8"/>
        <v>90.399999999999977</v>
      </c>
      <c r="K52" s="21" t="str">
        <f t="shared" ca="1" si="9"/>
        <v>C5</v>
      </c>
      <c r="L52" s="21" t="s">
        <v>18</v>
      </c>
    </row>
    <row r="53" spans="2:12" x14ac:dyDescent="0.3">
      <c r="B53" s="21">
        <f t="shared" si="0"/>
        <v>46</v>
      </c>
      <c r="C53" s="11">
        <f t="shared" ca="1" si="1"/>
        <v>44468</v>
      </c>
      <c r="D53" s="21" t="str">
        <f t="shared" ca="1" si="2"/>
        <v>CARRO GRANDE</v>
      </c>
      <c r="E53" s="21" t="str">
        <f t="shared" ca="1" si="3"/>
        <v>NEVN-2514</v>
      </c>
      <c r="F53" s="19" t="str">
        <f t="shared" ca="1" si="4"/>
        <v>11:12</v>
      </c>
      <c r="G53" s="19" t="str">
        <f t="shared" ca="1" si="5"/>
        <v>15:38</v>
      </c>
      <c r="H53" s="19">
        <f t="shared" ca="1" si="6"/>
        <v>0.18472222222222229</v>
      </c>
      <c r="I53" s="21" t="str">
        <f t="shared" ca="1" si="7"/>
        <v>Cartão</v>
      </c>
      <c r="J53" s="16">
        <f t="shared" ca="1" si="8"/>
        <v>88.666666666666714</v>
      </c>
      <c r="K53" s="21" t="str">
        <f t="shared" ca="1" si="9"/>
        <v>B2</v>
      </c>
      <c r="L53" s="21" t="s">
        <v>18</v>
      </c>
    </row>
    <row r="54" spans="2:12" x14ac:dyDescent="0.3">
      <c r="B54" s="21">
        <f t="shared" si="0"/>
        <v>47</v>
      </c>
      <c r="C54" s="11">
        <f t="shared" ca="1" si="1"/>
        <v>44460</v>
      </c>
      <c r="D54" s="21" t="str">
        <f t="shared" ca="1" si="2"/>
        <v>CARRO PEQUENO</v>
      </c>
      <c r="E54" s="21" t="str">
        <f t="shared" ca="1" si="3"/>
        <v>JGNK-7614</v>
      </c>
      <c r="F54" s="19" t="str">
        <f t="shared" ca="1" si="4"/>
        <v>09:49</v>
      </c>
      <c r="G54" s="19" t="str">
        <f t="shared" ca="1" si="5"/>
        <v>13:51</v>
      </c>
      <c r="H54" s="19">
        <f t="shared" ca="1" si="6"/>
        <v>0.16805555555555551</v>
      </c>
      <c r="I54" s="21" t="str">
        <f t="shared" ca="1" si="7"/>
        <v>Cartão</v>
      </c>
      <c r="J54" s="16">
        <f t="shared" ca="1" si="8"/>
        <v>48.399999999999991</v>
      </c>
      <c r="K54" s="21" t="str">
        <f t="shared" ca="1" si="9"/>
        <v>A4</v>
      </c>
      <c r="L54" s="21" t="s">
        <v>18</v>
      </c>
    </row>
    <row r="55" spans="2:12" x14ac:dyDescent="0.3">
      <c r="B55" s="21">
        <f t="shared" si="0"/>
        <v>48</v>
      </c>
      <c r="C55" s="11">
        <f t="shared" ca="1" si="1"/>
        <v>44426</v>
      </c>
      <c r="D55" s="21" t="str">
        <f t="shared" ca="1" si="2"/>
        <v>CARRO PEQUENO</v>
      </c>
      <c r="E55" s="21" t="str">
        <f t="shared" ca="1" si="3"/>
        <v>PODJ-5209</v>
      </c>
      <c r="F55" s="19" t="str">
        <f t="shared" ca="1" si="4"/>
        <v>07:12</v>
      </c>
      <c r="G55" s="19" t="str">
        <f t="shared" ca="1" si="5"/>
        <v>13:31</v>
      </c>
      <c r="H55" s="19">
        <f t="shared" ca="1" si="6"/>
        <v>0.26319444444444445</v>
      </c>
      <c r="I55" s="21" t="str">
        <f t="shared" ca="1" si="7"/>
        <v>Dinheiro</v>
      </c>
      <c r="J55" s="16">
        <f t="shared" ca="1" si="8"/>
        <v>75.8</v>
      </c>
      <c r="K55" s="21" t="str">
        <f t="shared" ca="1" si="9"/>
        <v>B4</v>
      </c>
      <c r="L55" s="21" t="s">
        <v>18</v>
      </c>
    </row>
    <row r="56" spans="2:12" x14ac:dyDescent="0.3">
      <c r="B56" s="21">
        <f t="shared" si="0"/>
        <v>49</v>
      </c>
      <c r="C56" s="11">
        <f t="shared" ca="1" si="1"/>
        <v>44409</v>
      </c>
      <c r="D56" s="21" t="str">
        <f t="shared" ca="1" si="2"/>
        <v>MOTO</v>
      </c>
      <c r="E56" s="21" t="str">
        <f t="shared" ca="1" si="3"/>
        <v>BVVT-8203</v>
      </c>
      <c r="F56" s="19" t="str">
        <f t="shared" ca="1" si="4"/>
        <v>11:38</v>
      </c>
      <c r="G56" s="19" t="str">
        <f t="shared" ca="1" si="5"/>
        <v>15:14</v>
      </c>
      <c r="H56" s="19">
        <f t="shared" ca="1" si="6"/>
        <v>0.14999999999999997</v>
      </c>
      <c r="I56" s="21" t="str">
        <f t="shared" ca="1" si="7"/>
        <v>Dinheiro</v>
      </c>
      <c r="J56" s="16">
        <f t="shared" ca="1" si="8"/>
        <v>32.399999999999991</v>
      </c>
      <c r="K56" s="21" t="str">
        <f t="shared" ca="1" si="9"/>
        <v>A3</v>
      </c>
      <c r="L56" s="21" t="s">
        <v>18</v>
      </c>
    </row>
    <row r="57" spans="2:12" x14ac:dyDescent="0.3">
      <c r="B57" s="21">
        <f t="shared" si="0"/>
        <v>50</v>
      </c>
      <c r="C57" s="11">
        <f t="shared" ca="1" si="1"/>
        <v>44406</v>
      </c>
      <c r="D57" s="21" t="str">
        <f t="shared" ca="1" si="2"/>
        <v>CARRO MÉDIO</v>
      </c>
      <c r="E57" s="21" t="str">
        <f t="shared" ca="1" si="3"/>
        <v>FVPN-7085</v>
      </c>
      <c r="F57" s="19" t="str">
        <f t="shared" ca="1" si="4"/>
        <v>07:40</v>
      </c>
      <c r="G57" s="19" t="str">
        <f t="shared" ca="1" si="5"/>
        <v>13:16</v>
      </c>
      <c r="H57" s="19">
        <f t="shared" ca="1" si="6"/>
        <v>0.23333333333333334</v>
      </c>
      <c r="I57" s="21" t="str">
        <f t="shared" ca="1" si="7"/>
        <v>Dinheiro</v>
      </c>
      <c r="J57" s="16">
        <f t="shared" ca="1" si="8"/>
        <v>84</v>
      </c>
      <c r="K57" s="21" t="str">
        <f t="shared" ca="1" si="9"/>
        <v>A5</v>
      </c>
      <c r="L57" s="21" t="s">
        <v>18</v>
      </c>
    </row>
    <row r="58" spans="2:12" x14ac:dyDescent="0.3">
      <c r="B58" s="21">
        <f t="shared" si="0"/>
        <v>51</v>
      </c>
      <c r="C58" s="11">
        <f t="shared" ca="1" si="1"/>
        <v>44457</v>
      </c>
      <c r="D58" s="21" t="str">
        <f t="shared" ca="1" si="2"/>
        <v>MOTO</v>
      </c>
      <c r="E58" s="21" t="str">
        <f t="shared" ca="1" si="3"/>
        <v>WBXN-1320</v>
      </c>
      <c r="F58" s="19" t="str">
        <f t="shared" ca="1" si="4"/>
        <v>08:01</v>
      </c>
      <c r="G58" s="19" t="str">
        <f t="shared" ca="1" si="5"/>
        <v>15:33</v>
      </c>
      <c r="H58" s="19">
        <f t="shared" ca="1" si="6"/>
        <v>0.31388888888888888</v>
      </c>
      <c r="I58" s="21" t="str">
        <f t="shared" ca="1" si="7"/>
        <v>Cartão</v>
      </c>
      <c r="J58" s="16">
        <f t="shared" ca="1" si="8"/>
        <v>67.8</v>
      </c>
      <c r="K58" s="21" t="str">
        <f t="shared" ca="1" si="9"/>
        <v>C4</v>
      </c>
      <c r="L58" s="21" t="s">
        <v>18</v>
      </c>
    </row>
    <row r="59" spans="2:12" x14ac:dyDescent="0.3">
      <c r="B59" s="21">
        <f t="shared" si="0"/>
        <v>52</v>
      </c>
      <c r="C59" s="11">
        <f t="shared" ca="1" si="1"/>
        <v>44381</v>
      </c>
      <c r="D59" s="21" t="str">
        <f t="shared" ca="1" si="2"/>
        <v>MOTO</v>
      </c>
      <c r="E59" s="21" t="str">
        <f t="shared" ca="1" si="3"/>
        <v>HQBW-3993</v>
      </c>
      <c r="F59" s="19" t="str">
        <f t="shared" ca="1" si="4"/>
        <v>10:17</v>
      </c>
      <c r="G59" s="19" t="str">
        <f t="shared" ca="1" si="5"/>
        <v>14:49</v>
      </c>
      <c r="H59" s="19">
        <f t="shared" ca="1" si="6"/>
        <v>0.18888888888888894</v>
      </c>
      <c r="I59" s="21" t="str">
        <f t="shared" ca="1" si="7"/>
        <v>Dinheiro</v>
      </c>
      <c r="J59" s="16">
        <f t="shared" ca="1" si="8"/>
        <v>40.800000000000011</v>
      </c>
      <c r="K59" s="21" t="str">
        <f t="shared" ca="1" si="9"/>
        <v>A2</v>
      </c>
      <c r="L59" s="21" t="s">
        <v>18</v>
      </c>
    </row>
    <row r="60" spans="2:12" x14ac:dyDescent="0.3">
      <c r="B60" s="21">
        <f t="shared" si="0"/>
        <v>53</v>
      </c>
      <c r="C60" s="11">
        <f t="shared" ca="1" si="1"/>
        <v>44465</v>
      </c>
      <c r="D60" s="21" t="str">
        <f t="shared" ca="1" si="2"/>
        <v>CARRO MÉDIO</v>
      </c>
      <c r="E60" s="21" t="str">
        <f t="shared" ca="1" si="3"/>
        <v>UDOK-4178</v>
      </c>
      <c r="F60" s="19" t="str">
        <f t="shared" ca="1" si="4"/>
        <v>09:54</v>
      </c>
      <c r="G60" s="19" t="str">
        <f t="shared" ca="1" si="5"/>
        <v>13:58</v>
      </c>
      <c r="H60" s="19">
        <f t="shared" ca="1" si="6"/>
        <v>0.16944444444444445</v>
      </c>
      <c r="I60" s="21" t="str">
        <f t="shared" ca="1" si="7"/>
        <v>Cartão</v>
      </c>
      <c r="J60" s="16">
        <f t="shared" ca="1" si="8"/>
        <v>61</v>
      </c>
      <c r="K60" s="21" t="str">
        <f t="shared" ca="1" si="9"/>
        <v>C3</v>
      </c>
      <c r="L60" s="21" t="s">
        <v>18</v>
      </c>
    </row>
    <row r="61" spans="2:12" x14ac:dyDescent="0.3">
      <c r="B61" s="21">
        <f t="shared" si="0"/>
        <v>54</v>
      </c>
      <c r="C61" s="11">
        <f t="shared" ca="1" si="1"/>
        <v>44406</v>
      </c>
      <c r="D61" s="21" t="str">
        <f t="shared" ca="1" si="2"/>
        <v>CARRO MÉDIO</v>
      </c>
      <c r="E61" s="21" t="str">
        <f t="shared" ca="1" si="3"/>
        <v>AHEI-3746</v>
      </c>
      <c r="F61" s="19" t="str">
        <f t="shared" ca="1" si="4"/>
        <v>09:39</v>
      </c>
      <c r="G61" s="19" t="str">
        <f t="shared" ca="1" si="5"/>
        <v>14:58</v>
      </c>
      <c r="H61" s="19">
        <f t="shared" ca="1" si="6"/>
        <v>0.22152777777777777</v>
      </c>
      <c r="I61" s="21" t="str">
        <f t="shared" ca="1" si="7"/>
        <v>Cartão</v>
      </c>
      <c r="J61" s="16">
        <f t="shared" ca="1" si="8"/>
        <v>79.75</v>
      </c>
      <c r="K61" s="21" t="str">
        <f t="shared" ca="1" si="9"/>
        <v>C2</v>
      </c>
      <c r="L61" s="21" t="s">
        <v>18</v>
      </c>
    </row>
    <row r="62" spans="2:12" x14ac:dyDescent="0.3">
      <c r="B62" s="21">
        <f t="shared" si="0"/>
        <v>55</v>
      </c>
      <c r="C62" s="11">
        <f t="shared" ca="1" si="1"/>
        <v>44389</v>
      </c>
      <c r="D62" s="21" t="str">
        <f t="shared" ca="1" si="2"/>
        <v>CARRO GRANDE</v>
      </c>
      <c r="E62" s="21" t="str">
        <f t="shared" ca="1" si="3"/>
        <v>VCJY-6696</v>
      </c>
      <c r="F62" s="19" t="str">
        <f t="shared" ca="1" si="4"/>
        <v>11:45</v>
      </c>
      <c r="G62" s="19" t="str">
        <f t="shared" ca="1" si="5"/>
        <v>13:37</v>
      </c>
      <c r="H62" s="19">
        <f t="shared" ca="1" si="6"/>
        <v>7.7777777777777779E-2</v>
      </c>
      <c r="I62" s="21" t="str">
        <f t="shared" ca="1" si="7"/>
        <v>Dinheiro</v>
      </c>
      <c r="J62" s="16">
        <f t="shared" ca="1" si="8"/>
        <v>37.333333333333336</v>
      </c>
      <c r="K62" s="21" t="str">
        <f t="shared" ca="1" si="9"/>
        <v>B5</v>
      </c>
      <c r="L62" s="21" t="s">
        <v>18</v>
      </c>
    </row>
    <row r="63" spans="2:12" x14ac:dyDescent="0.3">
      <c r="B63" s="21">
        <f t="shared" si="0"/>
        <v>56</v>
      </c>
      <c r="C63" s="11">
        <f t="shared" ca="1" si="1"/>
        <v>44454</v>
      </c>
      <c r="D63" s="21" t="str">
        <f t="shared" ca="1" si="2"/>
        <v>MOTO</v>
      </c>
      <c r="E63" s="21" t="str">
        <f t="shared" ca="1" si="3"/>
        <v>CJIE-5568</v>
      </c>
      <c r="F63" s="19" t="str">
        <f t="shared" ca="1" si="4"/>
        <v>10:08</v>
      </c>
      <c r="G63" s="19" t="str">
        <f t="shared" ca="1" si="5"/>
        <v>13:52</v>
      </c>
      <c r="H63" s="19">
        <f t="shared" ca="1" si="6"/>
        <v>0.15555555555555561</v>
      </c>
      <c r="I63" s="21" t="str">
        <f t="shared" ca="1" si="7"/>
        <v>Dinheiro</v>
      </c>
      <c r="J63" s="16">
        <f t="shared" ca="1" si="8"/>
        <v>33.600000000000016</v>
      </c>
      <c r="K63" s="21" t="str">
        <f t="shared" ca="1" si="9"/>
        <v>B5</v>
      </c>
      <c r="L63" s="21" t="s">
        <v>18</v>
      </c>
    </row>
    <row r="64" spans="2:12" x14ac:dyDescent="0.3">
      <c r="B64" s="21">
        <f t="shared" si="0"/>
        <v>57</v>
      </c>
      <c r="C64" s="11">
        <f t="shared" ca="1" si="1"/>
        <v>44375</v>
      </c>
      <c r="D64" s="21" t="str">
        <f t="shared" ca="1" si="2"/>
        <v>CARRO MÉDIO</v>
      </c>
      <c r="E64" s="21" t="str">
        <f t="shared" ca="1" si="3"/>
        <v>VZKF-2337</v>
      </c>
      <c r="F64" s="19" t="str">
        <f t="shared" ca="1" si="4"/>
        <v>07:19</v>
      </c>
      <c r="G64" s="19" t="str">
        <f t="shared" ca="1" si="5"/>
        <v>12:32</v>
      </c>
      <c r="H64" s="19">
        <f t="shared" ca="1" si="6"/>
        <v>0.21736111111111117</v>
      </c>
      <c r="I64" s="21" t="str">
        <f t="shared" ca="1" si="7"/>
        <v>Dinheiro</v>
      </c>
      <c r="J64" s="16">
        <f t="shared" ca="1" si="8"/>
        <v>78.250000000000028</v>
      </c>
      <c r="K64" s="21" t="str">
        <f t="shared" ca="1" si="9"/>
        <v>A2</v>
      </c>
      <c r="L64" s="21" t="s">
        <v>18</v>
      </c>
    </row>
    <row r="65" spans="2:12" x14ac:dyDescent="0.3">
      <c r="B65" s="21">
        <f t="shared" si="0"/>
        <v>58</v>
      </c>
      <c r="C65" s="11">
        <f t="shared" ca="1" si="1"/>
        <v>44375</v>
      </c>
      <c r="D65" s="21" t="str">
        <f t="shared" ca="1" si="2"/>
        <v>CARRO GRANDE</v>
      </c>
      <c r="E65" s="21" t="str">
        <f t="shared" ca="1" si="3"/>
        <v>EUUX-8987</v>
      </c>
      <c r="F65" s="19" t="str">
        <f t="shared" ca="1" si="4"/>
        <v>10:01</v>
      </c>
      <c r="G65" s="19" t="str">
        <f t="shared" ca="1" si="5"/>
        <v>14:01</v>
      </c>
      <c r="H65" s="19">
        <f t="shared" ca="1" si="6"/>
        <v>0.16666666666666669</v>
      </c>
      <c r="I65" s="21" t="str">
        <f t="shared" ca="1" si="7"/>
        <v>Dinheiro</v>
      </c>
      <c r="J65" s="16">
        <f t="shared" ca="1" si="8"/>
        <v>80</v>
      </c>
      <c r="K65" s="21" t="str">
        <f t="shared" ca="1" si="9"/>
        <v>A3</v>
      </c>
      <c r="L65" s="21" t="s">
        <v>18</v>
      </c>
    </row>
    <row r="66" spans="2:12" x14ac:dyDescent="0.3">
      <c r="B66" s="21">
        <f t="shared" si="0"/>
        <v>59</v>
      </c>
      <c r="C66" s="11">
        <f t="shared" ca="1" si="1"/>
        <v>44370</v>
      </c>
      <c r="D66" s="21" t="str">
        <f t="shared" ca="1" si="2"/>
        <v>CARRO GRANDE</v>
      </c>
      <c r="E66" s="21" t="str">
        <f t="shared" ca="1" si="3"/>
        <v>QQUA-8274</v>
      </c>
      <c r="F66" s="19" t="str">
        <f t="shared" ca="1" si="4"/>
        <v>07:34</v>
      </c>
      <c r="G66" s="19" t="str">
        <f t="shared" ca="1" si="5"/>
        <v>12:41</v>
      </c>
      <c r="H66" s="19">
        <f t="shared" ca="1" si="6"/>
        <v>0.21319444444444446</v>
      </c>
      <c r="I66" s="21" t="str">
        <f t="shared" ca="1" si="7"/>
        <v>Cartão</v>
      </c>
      <c r="J66" s="16">
        <f t="shared" ca="1" si="8"/>
        <v>102.33333333333334</v>
      </c>
      <c r="K66" s="21" t="str">
        <f t="shared" ca="1" si="9"/>
        <v>B4</v>
      </c>
      <c r="L66" s="21" t="s">
        <v>18</v>
      </c>
    </row>
    <row r="67" spans="2:12" x14ac:dyDescent="0.3">
      <c r="B67" s="21">
        <f t="shared" si="0"/>
        <v>60</v>
      </c>
      <c r="C67" s="11">
        <f t="shared" ca="1" si="1"/>
        <v>44433</v>
      </c>
      <c r="D67" s="21" t="str">
        <f t="shared" ca="1" si="2"/>
        <v>CARRO PEQUENO</v>
      </c>
      <c r="E67" s="21" t="str">
        <f t="shared" ca="1" si="3"/>
        <v>PYOM-5083</v>
      </c>
      <c r="F67" s="19" t="str">
        <f t="shared" ca="1" si="4"/>
        <v>09:25</v>
      </c>
      <c r="G67" s="19" t="str">
        <f t="shared" ca="1" si="5"/>
        <v>12:03</v>
      </c>
      <c r="H67" s="19">
        <f t="shared" ca="1" si="6"/>
        <v>0.10972222222222222</v>
      </c>
      <c r="I67" s="21" t="str">
        <f t="shared" ca="1" si="7"/>
        <v>Dinheiro</v>
      </c>
      <c r="J67" s="16">
        <f t="shared" ca="1" si="8"/>
        <v>31.6</v>
      </c>
      <c r="K67" s="21" t="str">
        <f t="shared" ca="1" si="9"/>
        <v>B2</v>
      </c>
      <c r="L67" s="21" t="s">
        <v>18</v>
      </c>
    </row>
    <row r="68" spans="2:12" x14ac:dyDescent="0.3">
      <c r="B68" s="21">
        <f t="shared" si="0"/>
        <v>61</v>
      </c>
      <c r="C68" s="11">
        <f t="shared" ca="1" si="1"/>
        <v>44361</v>
      </c>
      <c r="D68" s="21" t="str">
        <f t="shared" ca="1" si="2"/>
        <v>MOTO</v>
      </c>
      <c r="E68" s="21" t="str">
        <f t="shared" ca="1" si="3"/>
        <v>EPSW-7605</v>
      </c>
      <c r="F68" s="19" t="str">
        <f t="shared" ca="1" si="4"/>
        <v>07:31</v>
      </c>
      <c r="G68" s="19" t="str">
        <f t="shared" ca="1" si="5"/>
        <v>14:15</v>
      </c>
      <c r="H68" s="19">
        <f t="shared" ca="1" si="6"/>
        <v>0.28055555555555556</v>
      </c>
      <c r="I68" s="21" t="str">
        <f t="shared" ca="1" si="7"/>
        <v>Cartão</v>
      </c>
      <c r="J68" s="16">
        <f t="shared" ca="1" si="8"/>
        <v>60.6</v>
      </c>
      <c r="K68" s="21" t="str">
        <f t="shared" ca="1" si="9"/>
        <v>C4</v>
      </c>
      <c r="L68" s="21" t="s">
        <v>18</v>
      </c>
    </row>
    <row r="69" spans="2:12" x14ac:dyDescent="0.3">
      <c r="B69" s="21">
        <f t="shared" si="0"/>
        <v>62</v>
      </c>
      <c r="C69" s="11">
        <f t="shared" ca="1" si="1"/>
        <v>44443</v>
      </c>
      <c r="D69" s="21" t="str">
        <f t="shared" ca="1" si="2"/>
        <v>CARRO PEQUENO</v>
      </c>
      <c r="E69" s="21" t="str">
        <f t="shared" ca="1" si="3"/>
        <v>HUPV-1425</v>
      </c>
      <c r="F69" s="19" t="str">
        <f t="shared" ca="1" si="4"/>
        <v>11:40</v>
      </c>
      <c r="G69" s="19" t="str">
        <f t="shared" ca="1" si="5"/>
        <v>13:37</v>
      </c>
      <c r="H69" s="19">
        <f t="shared" ca="1" si="6"/>
        <v>8.1249999999999989E-2</v>
      </c>
      <c r="I69" s="21" t="str">
        <f t="shared" ca="1" si="7"/>
        <v>Cartão</v>
      </c>
      <c r="J69" s="16">
        <f t="shared" ca="1" si="8"/>
        <v>23.4</v>
      </c>
      <c r="K69" s="21" t="str">
        <f t="shared" ca="1" si="9"/>
        <v>B1</v>
      </c>
      <c r="L69" s="21" t="s">
        <v>18</v>
      </c>
    </row>
    <row r="70" spans="2:12" x14ac:dyDescent="0.3">
      <c r="B70" s="21">
        <f t="shared" si="0"/>
        <v>63</v>
      </c>
      <c r="C70" s="11">
        <f t="shared" ca="1" si="1"/>
        <v>44386</v>
      </c>
      <c r="D70" s="21" t="str">
        <f t="shared" ca="1" si="2"/>
        <v>CARRO PEQUENO</v>
      </c>
      <c r="E70" s="21" t="str">
        <f t="shared" ca="1" si="3"/>
        <v>ECVV-7367</v>
      </c>
      <c r="F70" s="19" t="str">
        <f t="shared" ca="1" si="4"/>
        <v>07:43</v>
      </c>
      <c r="G70" s="19" t="str">
        <f t="shared" ca="1" si="5"/>
        <v>12:42</v>
      </c>
      <c r="H70" s="19">
        <f t="shared" ca="1" si="6"/>
        <v>0.20763888888888887</v>
      </c>
      <c r="I70" s="21" t="str">
        <f t="shared" ca="1" si="7"/>
        <v>Cartão</v>
      </c>
      <c r="J70" s="16">
        <f t="shared" ca="1" si="8"/>
        <v>59.79999999999999</v>
      </c>
      <c r="K70" s="21" t="str">
        <f t="shared" ca="1" si="9"/>
        <v>B4</v>
      </c>
      <c r="L70" s="21" t="s">
        <v>18</v>
      </c>
    </row>
    <row r="71" spans="2:12" x14ac:dyDescent="0.3">
      <c r="B71" s="21">
        <f t="shared" si="0"/>
        <v>64</v>
      </c>
      <c r="C71" s="11">
        <f t="shared" ca="1" si="1"/>
        <v>44366</v>
      </c>
      <c r="D71" s="21" t="str">
        <f t="shared" ca="1" si="2"/>
        <v>MOTO</v>
      </c>
      <c r="E71" s="21" t="str">
        <f t="shared" ca="1" si="3"/>
        <v>UMOY-8876</v>
      </c>
      <c r="F71" s="19" t="str">
        <f t="shared" ca="1" si="4"/>
        <v>09:44</v>
      </c>
      <c r="G71" s="19" t="str">
        <f t="shared" ca="1" si="5"/>
        <v>15:51</v>
      </c>
      <c r="H71" s="19">
        <f t="shared" ca="1" si="6"/>
        <v>0.25486111111111115</v>
      </c>
      <c r="I71" s="21" t="str">
        <f t="shared" ca="1" si="7"/>
        <v>Cartão</v>
      </c>
      <c r="J71" s="16">
        <f t="shared" ca="1" si="8"/>
        <v>55.050000000000004</v>
      </c>
      <c r="K71" s="21" t="str">
        <f t="shared" ca="1" si="9"/>
        <v>A1</v>
      </c>
      <c r="L71" s="21" t="s">
        <v>18</v>
      </c>
    </row>
    <row r="72" spans="2:12" x14ac:dyDescent="0.3">
      <c r="B72" s="21">
        <f t="shared" si="0"/>
        <v>65</v>
      </c>
      <c r="C72" s="11">
        <f t="shared" ca="1" si="1"/>
        <v>44387</v>
      </c>
      <c r="D72" s="21" t="str">
        <f t="shared" ca="1" si="2"/>
        <v>CARRO PEQUENO</v>
      </c>
      <c r="E72" s="21" t="str">
        <f t="shared" ca="1" si="3"/>
        <v>OHMN-2611</v>
      </c>
      <c r="F72" s="19" t="str">
        <f t="shared" ca="1" si="4"/>
        <v>10:01</v>
      </c>
      <c r="G72" s="19" t="str">
        <f t="shared" ca="1" si="5"/>
        <v>12:21</v>
      </c>
      <c r="H72" s="19">
        <f t="shared" ca="1" si="6"/>
        <v>9.7222222222222154E-2</v>
      </c>
      <c r="I72" s="21" t="str">
        <f t="shared" ca="1" si="7"/>
        <v>Cartão</v>
      </c>
      <c r="J72" s="16">
        <f t="shared" ca="1" si="8"/>
        <v>27.999999999999979</v>
      </c>
      <c r="K72" s="21" t="str">
        <f t="shared" ca="1" si="9"/>
        <v>B3</v>
      </c>
      <c r="L72" s="21" t="s">
        <v>18</v>
      </c>
    </row>
    <row r="73" spans="2:12" x14ac:dyDescent="0.3">
      <c r="B73" s="21">
        <f t="shared" ref="B73:B136" si="10">ROW(A66)</f>
        <v>66</v>
      </c>
      <c r="C73" s="11">
        <f t="shared" ref="C73:C136" ca="1" si="11">DATE(2021,RANDBETWEEN(6,9),RANDBETWEEN(1,31))</f>
        <v>44399</v>
      </c>
      <c r="D73" s="21" t="str">
        <f t="shared" ref="D73:D136" ca="1" si="12">CHOOSE(RANDBETWEEN(1,4),$D$2,$D$3,$D$4,$D$5)</f>
        <v>MOTO</v>
      </c>
      <c r="E73" s="21" t="str">
        <f t="shared" ref="E73:E136" ca="1" si="13">CHAR(RANDBETWEEN(65,90))&amp;CHAR(RANDBETWEEN(65,90))&amp;CHAR(RANDBETWEEN(65,90))&amp;CHAR(RANDBETWEEN(65,90))&amp;"-"&amp;RANDBETWEEN(1111,9999)</f>
        <v>XAIM-8717</v>
      </c>
      <c r="F73" s="19" t="str">
        <f t="shared" ref="F73:F136" ca="1" si="14">TEXT(RANDBETWEEN(7,11)&amp;":"&amp;RANDBETWEEN(1,59),"HH:MM")</f>
        <v>11:13</v>
      </c>
      <c r="G73" s="19" t="str">
        <f t="shared" ref="G73:G136" ca="1" si="15">TEXT(RANDBETWEEN(12,15)&amp;":"&amp;RANDBETWEEN(1,59),"HH:MM")</f>
        <v>14:05</v>
      </c>
      <c r="H73" s="19">
        <f t="shared" ref="H73:H136" ca="1" si="16">G73-F73</f>
        <v>0.11944444444444446</v>
      </c>
      <c r="I73" s="21" t="str">
        <f t="shared" ref="I73:I136" ca="1" si="17">CHOOSE(RANDBETWEEN(1,2),"Cartão","Dinheiro")</f>
        <v>Dinheiro</v>
      </c>
      <c r="J73" s="16">
        <f t="shared" ref="J73:J136" ca="1" si="18">H73*24*IF(D73=$D$2,$E$2,IF(D73=$D$3,$E$3,IF(D73=$D$4,$E$4,IF(D73=$D$5,$E$5))))</f>
        <v>25.800000000000004</v>
      </c>
      <c r="K73" s="21" t="str">
        <f t="shared" ref="K73:K136" ca="1" si="19">CHOOSE(RANDBETWEEN(1,15),"A1","A2","A3","A4","A5","B1","B2","B3","B4","B5","C1","C2","C3","C4","C5")</f>
        <v>A5</v>
      </c>
      <c r="L73" s="21" t="s">
        <v>18</v>
      </c>
    </row>
    <row r="74" spans="2:12" x14ac:dyDescent="0.3">
      <c r="B74" s="21">
        <f t="shared" si="10"/>
        <v>67</v>
      </c>
      <c r="C74" s="11">
        <f t="shared" ca="1" si="11"/>
        <v>44438</v>
      </c>
      <c r="D74" s="21" t="str">
        <f t="shared" ca="1" si="12"/>
        <v>CARRO MÉDIO</v>
      </c>
      <c r="E74" s="21" t="str">
        <f t="shared" ca="1" si="13"/>
        <v>NZSC-6299</v>
      </c>
      <c r="F74" s="19" t="str">
        <f t="shared" ca="1" si="14"/>
        <v>07:57</v>
      </c>
      <c r="G74" s="19" t="str">
        <f t="shared" ca="1" si="15"/>
        <v>14:14</v>
      </c>
      <c r="H74" s="19">
        <f t="shared" ca="1" si="16"/>
        <v>0.26180555555555557</v>
      </c>
      <c r="I74" s="21" t="str">
        <f t="shared" ca="1" si="17"/>
        <v>Dinheiro</v>
      </c>
      <c r="J74" s="16">
        <f t="shared" ca="1" si="18"/>
        <v>94.25</v>
      </c>
      <c r="K74" s="21" t="str">
        <f t="shared" ca="1" si="19"/>
        <v>C1</v>
      </c>
      <c r="L74" s="21" t="s">
        <v>18</v>
      </c>
    </row>
    <row r="75" spans="2:12" x14ac:dyDescent="0.3">
      <c r="B75" s="21">
        <f t="shared" si="10"/>
        <v>68</v>
      </c>
      <c r="C75" s="11">
        <f t="shared" ca="1" si="11"/>
        <v>44359</v>
      </c>
      <c r="D75" s="21" t="str">
        <f t="shared" ca="1" si="12"/>
        <v>CARRO GRANDE</v>
      </c>
      <c r="E75" s="21" t="str">
        <f t="shared" ca="1" si="13"/>
        <v>PNVA-7324</v>
      </c>
      <c r="F75" s="19" t="str">
        <f t="shared" ca="1" si="14"/>
        <v>08:08</v>
      </c>
      <c r="G75" s="19" t="str">
        <f t="shared" ca="1" si="15"/>
        <v>15:23</v>
      </c>
      <c r="H75" s="19">
        <f t="shared" ca="1" si="16"/>
        <v>0.30208333333333331</v>
      </c>
      <c r="I75" s="21" t="str">
        <f t="shared" ca="1" si="17"/>
        <v>Cartão</v>
      </c>
      <c r="J75" s="16">
        <f t="shared" ca="1" si="18"/>
        <v>145</v>
      </c>
      <c r="K75" s="21" t="str">
        <f t="shared" ca="1" si="19"/>
        <v>A3</v>
      </c>
      <c r="L75" s="21" t="s">
        <v>18</v>
      </c>
    </row>
    <row r="76" spans="2:12" x14ac:dyDescent="0.3">
      <c r="B76" s="21">
        <f t="shared" si="10"/>
        <v>69</v>
      </c>
      <c r="C76" s="11">
        <f t="shared" ca="1" si="11"/>
        <v>44393</v>
      </c>
      <c r="D76" s="21" t="str">
        <f t="shared" ca="1" si="12"/>
        <v>MOTO</v>
      </c>
      <c r="E76" s="21" t="str">
        <f t="shared" ca="1" si="13"/>
        <v>LCTM-9258</v>
      </c>
      <c r="F76" s="19" t="str">
        <f t="shared" ca="1" si="14"/>
        <v>09:31</v>
      </c>
      <c r="G76" s="19" t="str">
        <f t="shared" ca="1" si="15"/>
        <v>12:39</v>
      </c>
      <c r="H76" s="19">
        <f t="shared" ca="1" si="16"/>
        <v>0.13055555555555554</v>
      </c>
      <c r="I76" s="21" t="str">
        <f t="shared" ca="1" si="17"/>
        <v>Cartão</v>
      </c>
      <c r="J76" s="16">
        <f t="shared" ca="1" si="18"/>
        <v>28.199999999999996</v>
      </c>
      <c r="K76" s="21" t="str">
        <f t="shared" ca="1" si="19"/>
        <v>C3</v>
      </c>
      <c r="L76" s="21" t="s">
        <v>18</v>
      </c>
    </row>
    <row r="77" spans="2:12" x14ac:dyDescent="0.3">
      <c r="B77" s="21">
        <f t="shared" si="10"/>
        <v>70</v>
      </c>
      <c r="C77" s="11">
        <f t="shared" ca="1" si="11"/>
        <v>44363</v>
      </c>
      <c r="D77" s="21" t="str">
        <f t="shared" ca="1" si="12"/>
        <v>CARRO GRANDE</v>
      </c>
      <c r="E77" s="21" t="str">
        <f t="shared" ca="1" si="13"/>
        <v>AUZZ-4063</v>
      </c>
      <c r="F77" s="19" t="str">
        <f t="shared" ca="1" si="14"/>
        <v>09:31</v>
      </c>
      <c r="G77" s="19" t="str">
        <f t="shared" ca="1" si="15"/>
        <v>14:23</v>
      </c>
      <c r="H77" s="19">
        <f t="shared" ca="1" si="16"/>
        <v>0.20277777777777772</v>
      </c>
      <c r="I77" s="21" t="str">
        <f t="shared" ca="1" si="17"/>
        <v>Dinheiro</v>
      </c>
      <c r="J77" s="16">
        <f t="shared" ca="1" si="18"/>
        <v>97.333333333333314</v>
      </c>
      <c r="K77" s="21" t="str">
        <f t="shared" ca="1" si="19"/>
        <v>A4</v>
      </c>
      <c r="L77" s="21" t="s">
        <v>18</v>
      </c>
    </row>
    <row r="78" spans="2:12" x14ac:dyDescent="0.3">
      <c r="B78" s="21">
        <f t="shared" si="10"/>
        <v>71</v>
      </c>
      <c r="C78" s="11">
        <f t="shared" ca="1" si="11"/>
        <v>44364</v>
      </c>
      <c r="D78" s="21" t="str">
        <f t="shared" ca="1" si="12"/>
        <v>CARRO MÉDIO</v>
      </c>
      <c r="E78" s="21" t="str">
        <f t="shared" ca="1" si="13"/>
        <v>YNAO-6246</v>
      </c>
      <c r="F78" s="19" t="str">
        <f t="shared" ca="1" si="14"/>
        <v>07:07</v>
      </c>
      <c r="G78" s="19" t="str">
        <f t="shared" ca="1" si="15"/>
        <v>13:38</v>
      </c>
      <c r="H78" s="19">
        <f t="shared" ca="1" si="16"/>
        <v>0.27152777777777776</v>
      </c>
      <c r="I78" s="21" t="str">
        <f t="shared" ca="1" si="17"/>
        <v>Cartão</v>
      </c>
      <c r="J78" s="16">
        <f t="shared" ca="1" si="18"/>
        <v>97.749999999999986</v>
      </c>
      <c r="K78" s="21" t="str">
        <f t="shared" ca="1" si="19"/>
        <v>C1</v>
      </c>
      <c r="L78" s="21" t="s">
        <v>18</v>
      </c>
    </row>
    <row r="79" spans="2:12" x14ac:dyDescent="0.3">
      <c r="B79" s="21">
        <f t="shared" si="10"/>
        <v>72</v>
      </c>
      <c r="C79" s="11">
        <f t="shared" ca="1" si="11"/>
        <v>44368</v>
      </c>
      <c r="D79" s="21" t="str">
        <f t="shared" ca="1" si="12"/>
        <v>MOTO</v>
      </c>
      <c r="E79" s="21" t="str">
        <f t="shared" ca="1" si="13"/>
        <v>XHUX-7594</v>
      </c>
      <c r="F79" s="19" t="str">
        <f t="shared" ca="1" si="14"/>
        <v>07:30</v>
      </c>
      <c r="G79" s="19" t="str">
        <f t="shared" ca="1" si="15"/>
        <v>13:06</v>
      </c>
      <c r="H79" s="19">
        <f t="shared" ca="1" si="16"/>
        <v>0.23333333333333328</v>
      </c>
      <c r="I79" s="21" t="str">
        <f t="shared" ca="1" si="17"/>
        <v>Dinheiro</v>
      </c>
      <c r="J79" s="16">
        <f t="shared" ca="1" si="18"/>
        <v>50.399999999999991</v>
      </c>
      <c r="K79" s="21" t="str">
        <f t="shared" ca="1" si="19"/>
        <v>B1</v>
      </c>
      <c r="L79" s="21" t="s">
        <v>18</v>
      </c>
    </row>
    <row r="80" spans="2:12" x14ac:dyDescent="0.3">
      <c r="B80" s="21">
        <f t="shared" si="10"/>
        <v>73</v>
      </c>
      <c r="C80" s="11">
        <f t="shared" ca="1" si="11"/>
        <v>44402</v>
      </c>
      <c r="D80" s="21" t="str">
        <f t="shared" ca="1" si="12"/>
        <v>MOTO</v>
      </c>
      <c r="E80" s="21" t="str">
        <f t="shared" ca="1" si="13"/>
        <v>ZNMA-8319</v>
      </c>
      <c r="F80" s="19" t="str">
        <f t="shared" ca="1" si="14"/>
        <v>09:28</v>
      </c>
      <c r="G80" s="19" t="str">
        <f t="shared" ca="1" si="15"/>
        <v>13:02</v>
      </c>
      <c r="H80" s="19">
        <f t="shared" ca="1" si="16"/>
        <v>0.14861111111111108</v>
      </c>
      <c r="I80" s="21" t="str">
        <f t="shared" ca="1" si="17"/>
        <v>Dinheiro</v>
      </c>
      <c r="J80" s="16">
        <f t="shared" ca="1" si="18"/>
        <v>32.099999999999994</v>
      </c>
      <c r="K80" s="21" t="str">
        <f t="shared" ca="1" si="19"/>
        <v>A1</v>
      </c>
      <c r="L80" s="21" t="s">
        <v>18</v>
      </c>
    </row>
    <row r="81" spans="2:12" x14ac:dyDescent="0.3">
      <c r="B81" s="21">
        <f t="shared" si="10"/>
        <v>74</v>
      </c>
      <c r="C81" s="11">
        <f t="shared" ca="1" si="11"/>
        <v>44363</v>
      </c>
      <c r="D81" s="21" t="str">
        <f t="shared" ca="1" si="12"/>
        <v>CARRO PEQUENO</v>
      </c>
      <c r="E81" s="21" t="str">
        <f t="shared" ca="1" si="13"/>
        <v>MIPZ-6543</v>
      </c>
      <c r="F81" s="19" t="str">
        <f t="shared" ca="1" si="14"/>
        <v>09:13</v>
      </c>
      <c r="G81" s="19" t="str">
        <f t="shared" ca="1" si="15"/>
        <v>12:11</v>
      </c>
      <c r="H81" s="19">
        <f t="shared" ca="1" si="16"/>
        <v>0.12361111111111106</v>
      </c>
      <c r="I81" s="21" t="str">
        <f t="shared" ca="1" si="17"/>
        <v>Dinheiro</v>
      </c>
      <c r="J81" s="16">
        <f t="shared" ca="1" si="18"/>
        <v>35.599999999999987</v>
      </c>
      <c r="K81" s="21" t="str">
        <f t="shared" ca="1" si="19"/>
        <v>A3</v>
      </c>
      <c r="L81" s="21" t="s">
        <v>18</v>
      </c>
    </row>
    <row r="82" spans="2:12" x14ac:dyDescent="0.3">
      <c r="B82" s="21">
        <f t="shared" si="10"/>
        <v>75</v>
      </c>
      <c r="C82" s="11">
        <f t="shared" ca="1" si="11"/>
        <v>44455</v>
      </c>
      <c r="D82" s="21" t="str">
        <f t="shared" ca="1" si="12"/>
        <v>CARRO PEQUENO</v>
      </c>
      <c r="E82" s="21" t="str">
        <f t="shared" ca="1" si="13"/>
        <v>GNXY-9982</v>
      </c>
      <c r="F82" s="19" t="str">
        <f t="shared" ca="1" si="14"/>
        <v>09:44</v>
      </c>
      <c r="G82" s="19" t="str">
        <f t="shared" ca="1" si="15"/>
        <v>14:38</v>
      </c>
      <c r="H82" s="19">
        <f t="shared" ca="1" si="16"/>
        <v>0.20416666666666666</v>
      </c>
      <c r="I82" s="21" t="str">
        <f t="shared" ca="1" si="17"/>
        <v>Dinheiro</v>
      </c>
      <c r="J82" s="16">
        <f t="shared" ca="1" si="18"/>
        <v>58.800000000000004</v>
      </c>
      <c r="K82" s="21" t="str">
        <f t="shared" ca="1" si="19"/>
        <v>A2</v>
      </c>
      <c r="L82" s="21" t="s">
        <v>18</v>
      </c>
    </row>
    <row r="83" spans="2:12" x14ac:dyDescent="0.3">
      <c r="B83" s="21">
        <f t="shared" si="10"/>
        <v>76</v>
      </c>
      <c r="C83" s="11">
        <f t="shared" ca="1" si="11"/>
        <v>44441</v>
      </c>
      <c r="D83" s="21" t="str">
        <f t="shared" ca="1" si="12"/>
        <v>CARRO GRANDE</v>
      </c>
      <c r="E83" s="21" t="str">
        <f t="shared" ca="1" si="13"/>
        <v>BPRZ-4754</v>
      </c>
      <c r="F83" s="19" t="str">
        <f t="shared" ca="1" si="14"/>
        <v>07:54</v>
      </c>
      <c r="G83" s="19" t="str">
        <f t="shared" ca="1" si="15"/>
        <v>13:15</v>
      </c>
      <c r="H83" s="19">
        <f t="shared" ca="1" si="16"/>
        <v>0.22291666666666671</v>
      </c>
      <c r="I83" s="21" t="str">
        <f t="shared" ca="1" si="17"/>
        <v>Cartão</v>
      </c>
      <c r="J83" s="16">
        <f t="shared" ca="1" si="18"/>
        <v>107.00000000000003</v>
      </c>
      <c r="K83" s="21" t="str">
        <f t="shared" ca="1" si="19"/>
        <v>A4</v>
      </c>
      <c r="L83" s="21" t="s">
        <v>18</v>
      </c>
    </row>
    <row r="84" spans="2:12" x14ac:dyDescent="0.3">
      <c r="B84" s="21">
        <f t="shared" si="10"/>
        <v>77</v>
      </c>
      <c r="C84" s="11">
        <f t="shared" ca="1" si="11"/>
        <v>44374</v>
      </c>
      <c r="D84" s="21" t="str">
        <f t="shared" ca="1" si="12"/>
        <v>MOTO</v>
      </c>
      <c r="E84" s="21" t="str">
        <f t="shared" ca="1" si="13"/>
        <v>HYHE-1450</v>
      </c>
      <c r="F84" s="19" t="str">
        <f t="shared" ca="1" si="14"/>
        <v>11:18</v>
      </c>
      <c r="G84" s="19" t="str">
        <f t="shared" ca="1" si="15"/>
        <v>14:34</v>
      </c>
      <c r="H84" s="19">
        <f t="shared" ca="1" si="16"/>
        <v>0.13611111111111102</v>
      </c>
      <c r="I84" s="21" t="str">
        <f t="shared" ca="1" si="17"/>
        <v>Cartão</v>
      </c>
      <c r="J84" s="16">
        <f t="shared" ca="1" si="18"/>
        <v>29.399999999999981</v>
      </c>
      <c r="K84" s="21" t="str">
        <f t="shared" ca="1" si="19"/>
        <v>A4</v>
      </c>
      <c r="L84" s="21" t="s">
        <v>18</v>
      </c>
    </row>
    <row r="85" spans="2:12" x14ac:dyDescent="0.3">
      <c r="B85" s="21">
        <f t="shared" si="10"/>
        <v>78</v>
      </c>
      <c r="C85" s="11">
        <f t="shared" ca="1" si="11"/>
        <v>44443</v>
      </c>
      <c r="D85" s="21" t="str">
        <f t="shared" ca="1" si="12"/>
        <v>CARRO MÉDIO</v>
      </c>
      <c r="E85" s="21" t="str">
        <f t="shared" ca="1" si="13"/>
        <v>UKDU-9697</v>
      </c>
      <c r="F85" s="19" t="str">
        <f t="shared" ca="1" si="14"/>
        <v>11:30</v>
      </c>
      <c r="G85" s="19" t="str">
        <f t="shared" ca="1" si="15"/>
        <v>12:56</v>
      </c>
      <c r="H85" s="19">
        <f t="shared" ca="1" si="16"/>
        <v>5.9722222222222177E-2</v>
      </c>
      <c r="I85" s="21" t="str">
        <f t="shared" ca="1" si="17"/>
        <v>Cartão</v>
      </c>
      <c r="J85" s="16">
        <f t="shared" ca="1" si="18"/>
        <v>21.499999999999982</v>
      </c>
      <c r="K85" s="21" t="str">
        <f t="shared" ca="1" si="19"/>
        <v>C3</v>
      </c>
      <c r="L85" s="21" t="s">
        <v>18</v>
      </c>
    </row>
    <row r="86" spans="2:12" x14ac:dyDescent="0.3">
      <c r="B86" s="21">
        <f t="shared" si="10"/>
        <v>79</v>
      </c>
      <c r="C86" s="11">
        <f t="shared" ca="1" si="11"/>
        <v>44386</v>
      </c>
      <c r="D86" s="21" t="str">
        <f t="shared" ca="1" si="12"/>
        <v>CARRO PEQUENO</v>
      </c>
      <c r="E86" s="21" t="str">
        <f t="shared" ca="1" si="13"/>
        <v>RNER-2931</v>
      </c>
      <c r="F86" s="19" t="str">
        <f t="shared" ca="1" si="14"/>
        <v>10:50</v>
      </c>
      <c r="G86" s="19" t="str">
        <f t="shared" ca="1" si="15"/>
        <v>12:20</v>
      </c>
      <c r="H86" s="19">
        <f t="shared" ca="1" si="16"/>
        <v>6.2500000000000056E-2</v>
      </c>
      <c r="I86" s="21" t="str">
        <f t="shared" ca="1" si="17"/>
        <v>Dinheiro</v>
      </c>
      <c r="J86" s="16">
        <f t="shared" ca="1" si="18"/>
        <v>18.000000000000014</v>
      </c>
      <c r="K86" s="21" t="str">
        <f t="shared" ca="1" si="19"/>
        <v>C2</v>
      </c>
      <c r="L86" s="21" t="s">
        <v>18</v>
      </c>
    </row>
    <row r="87" spans="2:12" x14ac:dyDescent="0.3">
      <c r="B87" s="21">
        <f t="shared" si="10"/>
        <v>80</v>
      </c>
      <c r="C87" s="11">
        <f t="shared" ca="1" si="11"/>
        <v>44350</v>
      </c>
      <c r="D87" s="21" t="str">
        <f t="shared" ca="1" si="12"/>
        <v>CARRO MÉDIO</v>
      </c>
      <c r="E87" s="21" t="str">
        <f t="shared" ca="1" si="13"/>
        <v>MAVT-5656</v>
      </c>
      <c r="F87" s="19" t="str">
        <f t="shared" ca="1" si="14"/>
        <v>10:07</v>
      </c>
      <c r="G87" s="19" t="str">
        <f t="shared" ca="1" si="15"/>
        <v>12:21</v>
      </c>
      <c r="H87" s="19">
        <f t="shared" ca="1" si="16"/>
        <v>9.3055555555555503E-2</v>
      </c>
      <c r="I87" s="21" t="str">
        <f t="shared" ca="1" si="17"/>
        <v>Dinheiro</v>
      </c>
      <c r="J87" s="16">
        <f t="shared" ca="1" si="18"/>
        <v>33.499999999999979</v>
      </c>
      <c r="K87" s="21" t="str">
        <f t="shared" ca="1" si="19"/>
        <v>A3</v>
      </c>
      <c r="L87" s="21" t="s">
        <v>18</v>
      </c>
    </row>
    <row r="88" spans="2:12" x14ac:dyDescent="0.3">
      <c r="B88" s="21">
        <f t="shared" si="10"/>
        <v>81</v>
      </c>
      <c r="C88" s="11">
        <f t="shared" ca="1" si="11"/>
        <v>44440</v>
      </c>
      <c r="D88" s="21" t="str">
        <f t="shared" ca="1" si="12"/>
        <v>CARRO PEQUENO</v>
      </c>
      <c r="E88" s="21" t="str">
        <f t="shared" ca="1" si="13"/>
        <v>NZYM-9819</v>
      </c>
      <c r="F88" s="19" t="str">
        <f t="shared" ca="1" si="14"/>
        <v>10:11</v>
      </c>
      <c r="G88" s="19" t="str">
        <f t="shared" ca="1" si="15"/>
        <v>12:57</v>
      </c>
      <c r="H88" s="19">
        <f t="shared" ca="1" si="16"/>
        <v>0.11527777777777776</v>
      </c>
      <c r="I88" s="21" t="str">
        <f t="shared" ca="1" si="17"/>
        <v>Cartão</v>
      </c>
      <c r="J88" s="16">
        <f t="shared" ca="1" si="18"/>
        <v>33.199999999999996</v>
      </c>
      <c r="K88" s="21" t="str">
        <f t="shared" ca="1" si="19"/>
        <v>A2</v>
      </c>
      <c r="L88" s="21" t="s">
        <v>18</v>
      </c>
    </row>
    <row r="89" spans="2:12" x14ac:dyDescent="0.3">
      <c r="B89" s="21">
        <f t="shared" si="10"/>
        <v>82</v>
      </c>
      <c r="C89" s="11">
        <f t="shared" ca="1" si="11"/>
        <v>44450</v>
      </c>
      <c r="D89" s="21" t="str">
        <f t="shared" ca="1" si="12"/>
        <v>CARRO PEQUENO</v>
      </c>
      <c r="E89" s="21" t="str">
        <f t="shared" ca="1" si="13"/>
        <v>XOBC-9982</v>
      </c>
      <c r="F89" s="19" t="str">
        <f t="shared" ca="1" si="14"/>
        <v>08:18</v>
      </c>
      <c r="G89" s="19" t="str">
        <f t="shared" ca="1" si="15"/>
        <v>13:53</v>
      </c>
      <c r="H89" s="19">
        <f t="shared" ca="1" si="16"/>
        <v>0.23263888888888878</v>
      </c>
      <c r="I89" s="21" t="str">
        <f t="shared" ca="1" si="17"/>
        <v>Cartão</v>
      </c>
      <c r="J89" s="16">
        <f t="shared" ca="1" si="18"/>
        <v>66.999999999999972</v>
      </c>
      <c r="K89" s="21" t="str">
        <f t="shared" ca="1" si="19"/>
        <v>A3</v>
      </c>
      <c r="L89" s="21" t="s">
        <v>18</v>
      </c>
    </row>
    <row r="90" spans="2:12" x14ac:dyDescent="0.3">
      <c r="B90" s="21">
        <f t="shared" si="10"/>
        <v>83</v>
      </c>
      <c r="C90" s="11">
        <f t="shared" ca="1" si="11"/>
        <v>44463</v>
      </c>
      <c r="D90" s="21" t="str">
        <f t="shared" ca="1" si="12"/>
        <v>CARRO PEQUENO</v>
      </c>
      <c r="E90" s="21" t="str">
        <f t="shared" ca="1" si="13"/>
        <v>NRYA-3460</v>
      </c>
      <c r="F90" s="19" t="str">
        <f t="shared" ca="1" si="14"/>
        <v>09:51</v>
      </c>
      <c r="G90" s="19" t="str">
        <f t="shared" ca="1" si="15"/>
        <v>15:48</v>
      </c>
      <c r="H90" s="19">
        <f t="shared" ca="1" si="16"/>
        <v>0.24791666666666667</v>
      </c>
      <c r="I90" s="21" t="str">
        <f t="shared" ca="1" si="17"/>
        <v>Cartão</v>
      </c>
      <c r="J90" s="16">
        <f t="shared" ca="1" si="18"/>
        <v>71.400000000000006</v>
      </c>
      <c r="K90" s="21" t="str">
        <f t="shared" ca="1" si="19"/>
        <v>B2</v>
      </c>
      <c r="L90" s="21" t="s">
        <v>18</v>
      </c>
    </row>
    <row r="91" spans="2:12" x14ac:dyDescent="0.3">
      <c r="B91" s="21">
        <f t="shared" si="10"/>
        <v>84</v>
      </c>
      <c r="C91" s="11">
        <f t="shared" ca="1" si="11"/>
        <v>44382</v>
      </c>
      <c r="D91" s="21" t="str">
        <f t="shared" ca="1" si="12"/>
        <v>CARRO MÉDIO</v>
      </c>
      <c r="E91" s="21" t="str">
        <f t="shared" ca="1" si="13"/>
        <v>LXXW-5170</v>
      </c>
      <c r="F91" s="19" t="str">
        <f t="shared" ca="1" si="14"/>
        <v>11:36</v>
      </c>
      <c r="G91" s="19" t="str">
        <f t="shared" ca="1" si="15"/>
        <v>13:36</v>
      </c>
      <c r="H91" s="19">
        <f t="shared" ca="1" si="16"/>
        <v>8.3333333333333315E-2</v>
      </c>
      <c r="I91" s="21" t="str">
        <f t="shared" ca="1" si="17"/>
        <v>Dinheiro</v>
      </c>
      <c r="J91" s="16">
        <f t="shared" ca="1" si="18"/>
        <v>29.999999999999993</v>
      </c>
      <c r="K91" s="21" t="str">
        <f t="shared" ca="1" si="19"/>
        <v>A4</v>
      </c>
      <c r="L91" s="21" t="s">
        <v>18</v>
      </c>
    </row>
    <row r="92" spans="2:12" x14ac:dyDescent="0.3">
      <c r="B92" s="21">
        <f t="shared" si="10"/>
        <v>85</v>
      </c>
      <c r="C92" s="11">
        <f t="shared" ca="1" si="11"/>
        <v>44394</v>
      </c>
      <c r="D92" s="21" t="str">
        <f t="shared" ca="1" si="12"/>
        <v>CARRO GRANDE</v>
      </c>
      <c r="E92" s="21" t="str">
        <f t="shared" ca="1" si="13"/>
        <v>QFIM-6983</v>
      </c>
      <c r="F92" s="19" t="str">
        <f t="shared" ca="1" si="14"/>
        <v>07:18</v>
      </c>
      <c r="G92" s="19" t="str">
        <f t="shared" ca="1" si="15"/>
        <v>12:05</v>
      </c>
      <c r="H92" s="19">
        <f t="shared" ca="1" si="16"/>
        <v>0.19930555555555557</v>
      </c>
      <c r="I92" s="21" t="str">
        <f t="shared" ca="1" si="17"/>
        <v>Dinheiro</v>
      </c>
      <c r="J92" s="16">
        <f t="shared" ca="1" si="18"/>
        <v>95.666666666666657</v>
      </c>
      <c r="K92" s="21" t="str">
        <f t="shared" ca="1" si="19"/>
        <v>A1</v>
      </c>
      <c r="L92" s="21" t="s">
        <v>18</v>
      </c>
    </row>
    <row r="93" spans="2:12" x14ac:dyDescent="0.3">
      <c r="B93" s="21">
        <f t="shared" si="10"/>
        <v>86</v>
      </c>
      <c r="C93" s="11">
        <f t="shared" ca="1" si="11"/>
        <v>44438</v>
      </c>
      <c r="D93" s="21" t="str">
        <f t="shared" ca="1" si="12"/>
        <v>CARRO MÉDIO</v>
      </c>
      <c r="E93" s="21" t="str">
        <f t="shared" ca="1" si="13"/>
        <v>XGGS-3498</v>
      </c>
      <c r="F93" s="19" t="str">
        <f t="shared" ca="1" si="14"/>
        <v>11:08</v>
      </c>
      <c r="G93" s="19" t="str">
        <f t="shared" ca="1" si="15"/>
        <v>15:24</v>
      </c>
      <c r="H93" s="19">
        <f t="shared" ca="1" si="16"/>
        <v>0.17777777777777787</v>
      </c>
      <c r="I93" s="21" t="str">
        <f t="shared" ca="1" si="17"/>
        <v>Dinheiro</v>
      </c>
      <c r="J93" s="16">
        <f t="shared" ca="1" si="18"/>
        <v>64.000000000000043</v>
      </c>
      <c r="K93" s="21" t="str">
        <f t="shared" ca="1" si="19"/>
        <v>C4</v>
      </c>
      <c r="L93" s="21" t="s">
        <v>18</v>
      </c>
    </row>
    <row r="94" spans="2:12" x14ac:dyDescent="0.3">
      <c r="B94" s="21">
        <f t="shared" si="10"/>
        <v>87</v>
      </c>
      <c r="C94" s="11">
        <f t="shared" ca="1" si="11"/>
        <v>44388</v>
      </c>
      <c r="D94" s="21" t="str">
        <f t="shared" ca="1" si="12"/>
        <v>CARRO MÉDIO</v>
      </c>
      <c r="E94" s="21" t="str">
        <f t="shared" ca="1" si="13"/>
        <v>AXUY-8876</v>
      </c>
      <c r="F94" s="19" t="str">
        <f t="shared" ca="1" si="14"/>
        <v>07:17</v>
      </c>
      <c r="G94" s="19" t="str">
        <f t="shared" ca="1" si="15"/>
        <v>12:53</v>
      </c>
      <c r="H94" s="19">
        <f t="shared" ca="1" si="16"/>
        <v>0.23333333333333334</v>
      </c>
      <c r="I94" s="21" t="str">
        <f t="shared" ca="1" si="17"/>
        <v>Cartão</v>
      </c>
      <c r="J94" s="16">
        <f t="shared" ca="1" si="18"/>
        <v>84</v>
      </c>
      <c r="K94" s="21" t="str">
        <f t="shared" ca="1" si="19"/>
        <v>C4</v>
      </c>
      <c r="L94" s="21" t="s">
        <v>18</v>
      </c>
    </row>
    <row r="95" spans="2:12" x14ac:dyDescent="0.3">
      <c r="B95" s="21">
        <f t="shared" si="10"/>
        <v>88</v>
      </c>
      <c r="C95" s="11">
        <f t="shared" ca="1" si="11"/>
        <v>44348</v>
      </c>
      <c r="D95" s="21" t="str">
        <f t="shared" ca="1" si="12"/>
        <v>MOTO</v>
      </c>
      <c r="E95" s="21" t="str">
        <f t="shared" ca="1" si="13"/>
        <v>ZYVR-6358</v>
      </c>
      <c r="F95" s="19" t="str">
        <f t="shared" ca="1" si="14"/>
        <v>08:46</v>
      </c>
      <c r="G95" s="19" t="str">
        <f t="shared" ca="1" si="15"/>
        <v>12:38</v>
      </c>
      <c r="H95" s="19">
        <f t="shared" ca="1" si="16"/>
        <v>0.16111111111111109</v>
      </c>
      <c r="I95" s="21" t="str">
        <f t="shared" ca="1" si="17"/>
        <v>Cartão</v>
      </c>
      <c r="J95" s="16">
        <f t="shared" ca="1" si="18"/>
        <v>34.799999999999997</v>
      </c>
      <c r="K95" s="21" t="str">
        <f t="shared" ca="1" si="19"/>
        <v>B4</v>
      </c>
      <c r="L95" s="21" t="s">
        <v>18</v>
      </c>
    </row>
    <row r="96" spans="2:12" x14ac:dyDescent="0.3">
      <c r="B96" s="21">
        <f t="shared" si="10"/>
        <v>89</v>
      </c>
      <c r="C96" s="11">
        <f t="shared" ca="1" si="11"/>
        <v>44412</v>
      </c>
      <c r="D96" s="21" t="str">
        <f t="shared" ca="1" si="12"/>
        <v>MOTO</v>
      </c>
      <c r="E96" s="21" t="str">
        <f t="shared" ca="1" si="13"/>
        <v>MUJD-2184</v>
      </c>
      <c r="F96" s="19" t="str">
        <f t="shared" ca="1" si="14"/>
        <v>09:18</v>
      </c>
      <c r="G96" s="19" t="str">
        <f t="shared" ca="1" si="15"/>
        <v>13:50</v>
      </c>
      <c r="H96" s="19">
        <f t="shared" ca="1" si="16"/>
        <v>0.18888888888888894</v>
      </c>
      <c r="I96" s="21" t="str">
        <f t="shared" ca="1" si="17"/>
        <v>Cartão</v>
      </c>
      <c r="J96" s="16">
        <f t="shared" ca="1" si="18"/>
        <v>40.800000000000011</v>
      </c>
      <c r="K96" s="21" t="str">
        <f t="shared" ca="1" si="19"/>
        <v>C5</v>
      </c>
      <c r="L96" s="21" t="s">
        <v>18</v>
      </c>
    </row>
    <row r="97" spans="2:12" x14ac:dyDescent="0.3">
      <c r="B97" s="21">
        <f t="shared" si="10"/>
        <v>90</v>
      </c>
      <c r="C97" s="11">
        <f t="shared" ca="1" si="11"/>
        <v>44414</v>
      </c>
      <c r="D97" s="21" t="str">
        <f t="shared" ca="1" si="12"/>
        <v>MOTO</v>
      </c>
      <c r="E97" s="21" t="str">
        <f t="shared" ca="1" si="13"/>
        <v>QCQB-8085</v>
      </c>
      <c r="F97" s="19" t="str">
        <f t="shared" ca="1" si="14"/>
        <v>08:03</v>
      </c>
      <c r="G97" s="19" t="str">
        <f t="shared" ca="1" si="15"/>
        <v>14:23</v>
      </c>
      <c r="H97" s="19">
        <f t="shared" ca="1" si="16"/>
        <v>0.26388888888888884</v>
      </c>
      <c r="I97" s="21" t="str">
        <f t="shared" ca="1" si="17"/>
        <v>Cartão</v>
      </c>
      <c r="J97" s="16">
        <f t="shared" ca="1" si="18"/>
        <v>56.999999999999986</v>
      </c>
      <c r="K97" s="21" t="str">
        <f t="shared" ca="1" si="19"/>
        <v>C2</v>
      </c>
      <c r="L97" s="21" t="s">
        <v>18</v>
      </c>
    </row>
    <row r="98" spans="2:12" x14ac:dyDescent="0.3">
      <c r="B98" s="21">
        <f t="shared" si="10"/>
        <v>91</v>
      </c>
      <c r="C98" s="11">
        <f t="shared" ca="1" si="11"/>
        <v>44443</v>
      </c>
      <c r="D98" s="21" t="str">
        <f t="shared" ca="1" si="12"/>
        <v>CARRO MÉDIO</v>
      </c>
      <c r="E98" s="21" t="str">
        <f t="shared" ca="1" si="13"/>
        <v>SAPR-8988</v>
      </c>
      <c r="F98" s="19" t="str">
        <f t="shared" ca="1" si="14"/>
        <v>08:41</v>
      </c>
      <c r="G98" s="19" t="str">
        <f t="shared" ca="1" si="15"/>
        <v>15:07</v>
      </c>
      <c r="H98" s="19">
        <f t="shared" ca="1" si="16"/>
        <v>0.26805555555555555</v>
      </c>
      <c r="I98" s="21" t="str">
        <f t="shared" ca="1" si="17"/>
        <v>Dinheiro</v>
      </c>
      <c r="J98" s="16">
        <f t="shared" ca="1" si="18"/>
        <v>96.5</v>
      </c>
      <c r="K98" s="21" t="str">
        <f t="shared" ca="1" si="19"/>
        <v>C3</v>
      </c>
      <c r="L98" s="21" t="s">
        <v>18</v>
      </c>
    </row>
    <row r="99" spans="2:12" x14ac:dyDescent="0.3">
      <c r="B99" s="21">
        <f t="shared" si="10"/>
        <v>92</v>
      </c>
      <c r="C99" s="11">
        <f t="shared" ca="1" si="11"/>
        <v>44404</v>
      </c>
      <c r="D99" s="21" t="str">
        <f t="shared" ca="1" si="12"/>
        <v>CARRO MÉDIO</v>
      </c>
      <c r="E99" s="21" t="str">
        <f t="shared" ca="1" si="13"/>
        <v>CJCU-8748</v>
      </c>
      <c r="F99" s="19" t="str">
        <f t="shared" ca="1" si="14"/>
        <v>09:01</v>
      </c>
      <c r="G99" s="19" t="str">
        <f t="shared" ca="1" si="15"/>
        <v>15:44</v>
      </c>
      <c r="H99" s="19">
        <f t="shared" ca="1" si="16"/>
        <v>0.27986111111111106</v>
      </c>
      <c r="I99" s="21" t="str">
        <f t="shared" ca="1" si="17"/>
        <v>Cartão</v>
      </c>
      <c r="J99" s="16">
        <f t="shared" ca="1" si="18"/>
        <v>100.74999999999997</v>
      </c>
      <c r="K99" s="21" t="str">
        <f t="shared" ca="1" si="19"/>
        <v>C2</v>
      </c>
      <c r="L99" s="21" t="s">
        <v>18</v>
      </c>
    </row>
    <row r="100" spans="2:12" x14ac:dyDescent="0.3">
      <c r="B100" s="21">
        <f t="shared" si="10"/>
        <v>93</v>
      </c>
      <c r="C100" s="11">
        <f t="shared" ca="1" si="11"/>
        <v>44376</v>
      </c>
      <c r="D100" s="21" t="str">
        <f t="shared" ca="1" si="12"/>
        <v>MOTO</v>
      </c>
      <c r="E100" s="21" t="str">
        <f t="shared" ca="1" si="13"/>
        <v>HGDU-6172</v>
      </c>
      <c r="F100" s="19" t="str">
        <f t="shared" ca="1" si="14"/>
        <v>10:29</v>
      </c>
      <c r="G100" s="19" t="str">
        <f t="shared" ca="1" si="15"/>
        <v>12:03</v>
      </c>
      <c r="H100" s="19">
        <f t="shared" ca="1" si="16"/>
        <v>6.5277777777777823E-2</v>
      </c>
      <c r="I100" s="21" t="str">
        <f t="shared" ca="1" si="17"/>
        <v>Cartão</v>
      </c>
      <c r="J100" s="16">
        <f t="shared" ca="1" si="18"/>
        <v>14.10000000000001</v>
      </c>
      <c r="K100" s="21" t="str">
        <f t="shared" ca="1" si="19"/>
        <v>B1</v>
      </c>
      <c r="L100" s="21" t="s">
        <v>18</v>
      </c>
    </row>
    <row r="101" spans="2:12" x14ac:dyDescent="0.3">
      <c r="B101" s="21">
        <f t="shared" si="10"/>
        <v>94</v>
      </c>
      <c r="C101" s="11">
        <f t="shared" ca="1" si="11"/>
        <v>44469</v>
      </c>
      <c r="D101" s="21" t="str">
        <f t="shared" ca="1" si="12"/>
        <v>CARRO MÉDIO</v>
      </c>
      <c r="E101" s="21" t="str">
        <f t="shared" ca="1" si="13"/>
        <v>NNGI-1724</v>
      </c>
      <c r="F101" s="19" t="str">
        <f t="shared" ca="1" si="14"/>
        <v>08:57</v>
      </c>
      <c r="G101" s="19" t="str">
        <f t="shared" ca="1" si="15"/>
        <v>15:35</v>
      </c>
      <c r="H101" s="19">
        <f t="shared" ca="1" si="16"/>
        <v>0.27638888888888896</v>
      </c>
      <c r="I101" s="21" t="str">
        <f t="shared" ca="1" si="17"/>
        <v>Dinheiro</v>
      </c>
      <c r="J101" s="16">
        <f t="shared" ca="1" si="18"/>
        <v>99.500000000000014</v>
      </c>
      <c r="K101" s="21" t="str">
        <f t="shared" ca="1" si="19"/>
        <v>C5</v>
      </c>
      <c r="L101" s="21" t="s">
        <v>18</v>
      </c>
    </row>
    <row r="102" spans="2:12" x14ac:dyDescent="0.3">
      <c r="B102" s="21">
        <f t="shared" si="10"/>
        <v>95</v>
      </c>
      <c r="C102" s="11">
        <f t="shared" ca="1" si="11"/>
        <v>44382</v>
      </c>
      <c r="D102" s="21" t="str">
        <f t="shared" ca="1" si="12"/>
        <v>MOTO</v>
      </c>
      <c r="E102" s="21" t="str">
        <f t="shared" ca="1" si="13"/>
        <v>ABCA-6410</v>
      </c>
      <c r="F102" s="19" t="str">
        <f t="shared" ca="1" si="14"/>
        <v>07:14</v>
      </c>
      <c r="G102" s="19" t="str">
        <f t="shared" ca="1" si="15"/>
        <v>12:30</v>
      </c>
      <c r="H102" s="19">
        <f t="shared" ca="1" si="16"/>
        <v>0.2194444444444445</v>
      </c>
      <c r="I102" s="21" t="str">
        <f t="shared" ca="1" si="17"/>
        <v>Dinheiro</v>
      </c>
      <c r="J102" s="16">
        <f t="shared" ca="1" si="18"/>
        <v>47.400000000000006</v>
      </c>
      <c r="K102" s="21" t="str">
        <f t="shared" ca="1" si="19"/>
        <v>A4</v>
      </c>
      <c r="L102" s="21" t="s">
        <v>18</v>
      </c>
    </row>
    <row r="103" spans="2:12" x14ac:dyDescent="0.3">
      <c r="B103" s="21">
        <f t="shared" si="10"/>
        <v>96</v>
      </c>
      <c r="C103" s="11">
        <f t="shared" ca="1" si="11"/>
        <v>44401</v>
      </c>
      <c r="D103" s="21" t="str">
        <f t="shared" ca="1" si="12"/>
        <v>MOTO</v>
      </c>
      <c r="E103" s="21" t="str">
        <f t="shared" ca="1" si="13"/>
        <v>EQUY-2958</v>
      </c>
      <c r="F103" s="19" t="str">
        <f t="shared" ca="1" si="14"/>
        <v>10:54</v>
      </c>
      <c r="G103" s="19" t="str">
        <f t="shared" ca="1" si="15"/>
        <v>13:37</v>
      </c>
      <c r="H103" s="19">
        <f t="shared" ca="1" si="16"/>
        <v>0.11319444444444443</v>
      </c>
      <c r="I103" s="21" t="str">
        <f t="shared" ca="1" si="17"/>
        <v>Dinheiro</v>
      </c>
      <c r="J103" s="16">
        <f t="shared" ca="1" si="18"/>
        <v>24.449999999999996</v>
      </c>
      <c r="K103" s="21" t="str">
        <f t="shared" ca="1" si="19"/>
        <v>B1</v>
      </c>
      <c r="L103" s="21" t="s">
        <v>18</v>
      </c>
    </row>
    <row r="104" spans="2:12" x14ac:dyDescent="0.3">
      <c r="B104" s="21">
        <f t="shared" si="10"/>
        <v>97</v>
      </c>
      <c r="C104" s="11">
        <f t="shared" ca="1" si="11"/>
        <v>44465</v>
      </c>
      <c r="D104" s="21" t="str">
        <f t="shared" ca="1" si="12"/>
        <v>MOTO</v>
      </c>
      <c r="E104" s="21" t="str">
        <f t="shared" ca="1" si="13"/>
        <v>OTZI-8290</v>
      </c>
      <c r="F104" s="19" t="str">
        <f t="shared" ca="1" si="14"/>
        <v>09:40</v>
      </c>
      <c r="G104" s="19" t="str">
        <f t="shared" ca="1" si="15"/>
        <v>14:12</v>
      </c>
      <c r="H104" s="19">
        <f t="shared" ca="1" si="16"/>
        <v>0.18888888888888894</v>
      </c>
      <c r="I104" s="21" t="str">
        <f t="shared" ca="1" si="17"/>
        <v>Cartão</v>
      </c>
      <c r="J104" s="16">
        <f t="shared" ca="1" si="18"/>
        <v>40.800000000000011</v>
      </c>
      <c r="K104" s="21" t="str">
        <f t="shared" ca="1" si="19"/>
        <v>C3</v>
      </c>
      <c r="L104" s="21" t="s">
        <v>18</v>
      </c>
    </row>
    <row r="105" spans="2:12" x14ac:dyDescent="0.3">
      <c r="B105" s="21">
        <f t="shared" si="10"/>
        <v>98</v>
      </c>
      <c r="C105" s="11">
        <f t="shared" ca="1" si="11"/>
        <v>44371</v>
      </c>
      <c r="D105" s="21" t="str">
        <f t="shared" ca="1" si="12"/>
        <v>CARRO GRANDE</v>
      </c>
      <c r="E105" s="21" t="str">
        <f t="shared" ca="1" si="13"/>
        <v>FTBD-5908</v>
      </c>
      <c r="F105" s="19" t="str">
        <f t="shared" ca="1" si="14"/>
        <v>09:08</v>
      </c>
      <c r="G105" s="19" t="str">
        <f t="shared" ca="1" si="15"/>
        <v>13:29</v>
      </c>
      <c r="H105" s="19">
        <f t="shared" ca="1" si="16"/>
        <v>0.18125000000000002</v>
      </c>
      <c r="I105" s="21" t="str">
        <f t="shared" ca="1" si="17"/>
        <v>Dinheiro</v>
      </c>
      <c r="J105" s="16">
        <f t="shared" ca="1" si="18"/>
        <v>87.000000000000014</v>
      </c>
      <c r="K105" s="21" t="str">
        <f t="shared" ca="1" si="19"/>
        <v>B2</v>
      </c>
      <c r="L105" s="21" t="s">
        <v>18</v>
      </c>
    </row>
    <row r="106" spans="2:12" x14ac:dyDescent="0.3">
      <c r="B106" s="21">
        <f t="shared" si="10"/>
        <v>99</v>
      </c>
      <c r="C106" s="11">
        <f t="shared" ca="1" si="11"/>
        <v>44432</v>
      </c>
      <c r="D106" s="21" t="str">
        <f t="shared" ca="1" si="12"/>
        <v>CARRO MÉDIO</v>
      </c>
      <c r="E106" s="21" t="str">
        <f t="shared" ca="1" si="13"/>
        <v>BQYD-7473</v>
      </c>
      <c r="F106" s="19" t="str">
        <f t="shared" ca="1" si="14"/>
        <v>11:05</v>
      </c>
      <c r="G106" s="19" t="str">
        <f t="shared" ca="1" si="15"/>
        <v>13:11</v>
      </c>
      <c r="H106" s="19">
        <f t="shared" ca="1" si="16"/>
        <v>8.7500000000000022E-2</v>
      </c>
      <c r="I106" s="21" t="str">
        <f t="shared" ca="1" si="17"/>
        <v>Dinheiro</v>
      </c>
      <c r="J106" s="16">
        <f t="shared" ca="1" si="18"/>
        <v>31.500000000000007</v>
      </c>
      <c r="K106" s="21" t="str">
        <f t="shared" ca="1" si="19"/>
        <v>A1</v>
      </c>
      <c r="L106" s="21" t="s">
        <v>18</v>
      </c>
    </row>
    <row r="107" spans="2:12" x14ac:dyDescent="0.3">
      <c r="B107" s="21">
        <f t="shared" si="10"/>
        <v>100</v>
      </c>
      <c r="C107" s="11">
        <f t="shared" ca="1" si="11"/>
        <v>44417</v>
      </c>
      <c r="D107" s="21" t="str">
        <f t="shared" ca="1" si="12"/>
        <v>CARRO PEQUENO</v>
      </c>
      <c r="E107" s="21" t="str">
        <f t="shared" ca="1" si="13"/>
        <v>GYTB-2711</v>
      </c>
      <c r="F107" s="19" t="str">
        <f t="shared" ca="1" si="14"/>
        <v>10:12</v>
      </c>
      <c r="G107" s="19" t="str">
        <f t="shared" ca="1" si="15"/>
        <v>12:45</v>
      </c>
      <c r="H107" s="19">
        <f t="shared" ca="1" si="16"/>
        <v>0.10625000000000001</v>
      </c>
      <c r="I107" s="21" t="str">
        <f t="shared" ca="1" si="17"/>
        <v>Cartão</v>
      </c>
      <c r="J107" s="16">
        <f t="shared" ca="1" si="18"/>
        <v>30.6</v>
      </c>
      <c r="K107" s="21" t="str">
        <f t="shared" ca="1" si="19"/>
        <v>B5</v>
      </c>
      <c r="L107" s="21" t="s">
        <v>18</v>
      </c>
    </row>
    <row r="108" spans="2:12" x14ac:dyDescent="0.3">
      <c r="B108" s="21">
        <f t="shared" si="10"/>
        <v>101</v>
      </c>
      <c r="C108" s="11">
        <f t="shared" ca="1" si="11"/>
        <v>44456</v>
      </c>
      <c r="D108" s="21" t="str">
        <f t="shared" ca="1" si="12"/>
        <v>MOTO</v>
      </c>
      <c r="E108" s="21" t="str">
        <f t="shared" ca="1" si="13"/>
        <v>YZWC-5620</v>
      </c>
      <c r="F108" s="19" t="str">
        <f t="shared" ca="1" si="14"/>
        <v>08:42</v>
      </c>
      <c r="G108" s="19" t="str">
        <f t="shared" ca="1" si="15"/>
        <v>13:23</v>
      </c>
      <c r="H108" s="19">
        <f t="shared" ca="1" si="16"/>
        <v>0.19513888888888892</v>
      </c>
      <c r="I108" s="21" t="str">
        <f t="shared" ca="1" si="17"/>
        <v>Dinheiro</v>
      </c>
      <c r="J108" s="16">
        <f t="shared" ca="1" si="18"/>
        <v>42.150000000000006</v>
      </c>
      <c r="K108" s="21" t="str">
        <f t="shared" ca="1" si="19"/>
        <v>B5</v>
      </c>
      <c r="L108" s="21" t="s">
        <v>18</v>
      </c>
    </row>
    <row r="109" spans="2:12" x14ac:dyDescent="0.3">
      <c r="B109" s="21">
        <f t="shared" si="10"/>
        <v>102</v>
      </c>
      <c r="C109" s="11">
        <f t="shared" ca="1" si="11"/>
        <v>44421</v>
      </c>
      <c r="D109" s="21" t="str">
        <f t="shared" ca="1" si="12"/>
        <v>CARRO GRANDE</v>
      </c>
      <c r="E109" s="21" t="str">
        <f t="shared" ca="1" si="13"/>
        <v>ZUMV-8114</v>
      </c>
      <c r="F109" s="19" t="str">
        <f t="shared" ca="1" si="14"/>
        <v>08:07</v>
      </c>
      <c r="G109" s="19" t="str">
        <f t="shared" ca="1" si="15"/>
        <v>12:10</v>
      </c>
      <c r="H109" s="19">
        <f t="shared" ca="1" si="16"/>
        <v>0.16874999999999996</v>
      </c>
      <c r="I109" s="21" t="str">
        <f t="shared" ca="1" si="17"/>
        <v>Dinheiro</v>
      </c>
      <c r="J109" s="16">
        <f t="shared" ca="1" si="18"/>
        <v>80.999999999999972</v>
      </c>
      <c r="K109" s="21" t="str">
        <f t="shared" ca="1" si="19"/>
        <v>C2</v>
      </c>
      <c r="L109" s="21" t="s">
        <v>18</v>
      </c>
    </row>
    <row r="110" spans="2:12" x14ac:dyDescent="0.3">
      <c r="B110" s="21">
        <f t="shared" si="10"/>
        <v>103</v>
      </c>
      <c r="C110" s="11">
        <f t="shared" ca="1" si="11"/>
        <v>44407</v>
      </c>
      <c r="D110" s="21" t="str">
        <f t="shared" ca="1" si="12"/>
        <v>MOTO</v>
      </c>
      <c r="E110" s="21" t="str">
        <f t="shared" ca="1" si="13"/>
        <v>OINN-6343</v>
      </c>
      <c r="F110" s="19" t="str">
        <f t="shared" ca="1" si="14"/>
        <v>09:42</v>
      </c>
      <c r="G110" s="19" t="str">
        <f t="shared" ca="1" si="15"/>
        <v>12:38</v>
      </c>
      <c r="H110" s="19">
        <f t="shared" ca="1" si="16"/>
        <v>0.12222222222222229</v>
      </c>
      <c r="I110" s="21" t="str">
        <f t="shared" ca="1" si="17"/>
        <v>Cartão</v>
      </c>
      <c r="J110" s="16">
        <f t="shared" ca="1" si="18"/>
        <v>26.400000000000013</v>
      </c>
      <c r="K110" s="21" t="str">
        <f t="shared" ca="1" si="19"/>
        <v>B3</v>
      </c>
      <c r="L110" s="21" t="s">
        <v>18</v>
      </c>
    </row>
    <row r="111" spans="2:12" x14ac:dyDescent="0.3">
      <c r="B111" s="21">
        <f t="shared" si="10"/>
        <v>104</v>
      </c>
      <c r="C111" s="11">
        <f t="shared" ca="1" si="11"/>
        <v>44432</v>
      </c>
      <c r="D111" s="21" t="str">
        <f t="shared" ca="1" si="12"/>
        <v>CARRO PEQUENO</v>
      </c>
      <c r="E111" s="21" t="str">
        <f t="shared" ca="1" si="13"/>
        <v>YPGW-5415</v>
      </c>
      <c r="F111" s="19" t="str">
        <f t="shared" ca="1" si="14"/>
        <v>11:37</v>
      </c>
      <c r="G111" s="19" t="str">
        <f t="shared" ca="1" si="15"/>
        <v>15:47</v>
      </c>
      <c r="H111" s="19">
        <f t="shared" ca="1" si="16"/>
        <v>0.1736111111111111</v>
      </c>
      <c r="I111" s="21" t="str">
        <f t="shared" ca="1" si="17"/>
        <v>Cartão</v>
      </c>
      <c r="J111" s="16">
        <f t="shared" ca="1" si="18"/>
        <v>49.999999999999993</v>
      </c>
      <c r="K111" s="21" t="str">
        <f t="shared" ca="1" si="19"/>
        <v>B5</v>
      </c>
      <c r="L111" s="21" t="s">
        <v>18</v>
      </c>
    </row>
    <row r="112" spans="2:12" x14ac:dyDescent="0.3">
      <c r="B112" s="21">
        <f t="shared" si="10"/>
        <v>105</v>
      </c>
      <c r="C112" s="11">
        <f t="shared" ca="1" si="11"/>
        <v>44372</v>
      </c>
      <c r="D112" s="21" t="str">
        <f t="shared" ca="1" si="12"/>
        <v>CARRO GRANDE</v>
      </c>
      <c r="E112" s="21" t="str">
        <f t="shared" ca="1" si="13"/>
        <v>FVSH-4652</v>
      </c>
      <c r="F112" s="19" t="str">
        <f t="shared" ca="1" si="14"/>
        <v>08:24</v>
      </c>
      <c r="G112" s="19" t="str">
        <f t="shared" ca="1" si="15"/>
        <v>15:42</v>
      </c>
      <c r="H112" s="19">
        <f t="shared" ca="1" si="16"/>
        <v>0.30416666666666664</v>
      </c>
      <c r="I112" s="21" t="str">
        <f t="shared" ca="1" si="17"/>
        <v>Dinheiro</v>
      </c>
      <c r="J112" s="16">
        <f t="shared" ca="1" si="18"/>
        <v>145.99999999999997</v>
      </c>
      <c r="K112" s="21" t="str">
        <f t="shared" ca="1" si="19"/>
        <v>A5</v>
      </c>
      <c r="L112" s="21" t="s">
        <v>18</v>
      </c>
    </row>
    <row r="113" spans="2:12" x14ac:dyDescent="0.3">
      <c r="B113" s="21">
        <f t="shared" si="10"/>
        <v>106</v>
      </c>
      <c r="C113" s="11">
        <f t="shared" ca="1" si="11"/>
        <v>44414</v>
      </c>
      <c r="D113" s="21" t="str">
        <f t="shared" ca="1" si="12"/>
        <v>CARRO MÉDIO</v>
      </c>
      <c r="E113" s="21" t="str">
        <f t="shared" ca="1" si="13"/>
        <v>TQWF-1776</v>
      </c>
      <c r="F113" s="19" t="str">
        <f t="shared" ca="1" si="14"/>
        <v>10:21</v>
      </c>
      <c r="G113" s="19" t="str">
        <f t="shared" ca="1" si="15"/>
        <v>12:46</v>
      </c>
      <c r="H113" s="19">
        <f t="shared" ca="1" si="16"/>
        <v>0.10069444444444448</v>
      </c>
      <c r="I113" s="21" t="str">
        <f t="shared" ca="1" si="17"/>
        <v>Dinheiro</v>
      </c>
      <c r="J113" s="16">
        <f t="shared" ca="1" si="18"/>
        <v>36.250000000000014</v>
      </c>
      <c r="K113" s="21" t="str">
        <f t="shared" ca="1" si="19"/>
        <v>B1</v>
      </c>
      <c r="L113" s="21" t="s">
        <v>18</v>
      </c>
    </row>
    <row r="114" spans="2:12" x14ac:dyDescent="0.3">
      <c r="B114" s="21">
        <f t="shared" si="10"/>
        <v>107</v>
      </c>
      <c r="C114" s="11">
        <f t="shared" ca="1" si="11"/>
        <v>44400</v>
      </c>
      <c r="D114" s="21" t="str">
        <f t="shared" ca="1" si="12"/>
        <v>CARRO MÉDIO</v>
      </c>
      <c r="E114" s="21" t="str">
        <f t="shared" ca="1" si="13"/>
        <v>LFXP-6143</v>
      </c>
      <c r="F114" s="19" t="str">
        <f t="shared" ca="1" si="14"/>
        <v>11:50</v>
      </c>
      <c r="G114" s="19" t="str">
        <f t="shared" ca="1" si="15"/>
        <v>12:48</v>
      </c>
      <c r="H114" s="19">
        <f t="shared" ca="1" si="16"/>
        <v>4.0277777777777746E-2</v>
      </c>
      <c r="I114" s="21" t="str">
        <f t="shared" ca="1" si="17"/>
        <v>Cartão</v>
      </c>
      <c r="J114" s="16">
        <f t="shared" ca="1" si="18"/>
        <v>14.499999999999989</v>
      </c>
      <c r="K114" s="21" t="str">
        <f t="shared" ca="1" si="19"/>
        <v>C5</v>
      </c>
      <c r="L114" s="21" t="s">
        <v>18</v>
      </c>
    </row>
    <row r="115" spans="2:12" x14ac:dyDescent="0.3">
      <c r="B115" s="21">
        <f t="shared" si="10"/>
        <v>108</v>
      </c>
      <c r="C115" s="11">
        <f t="shared" ca="1" si="11"/>
        <v>44391</v>
      </c>
      <c r="D115" s="21" t="str">
        <f t="shared" ca="1" si="12"/>
        <v>CARRO PEQUENO</v>
      </c>
      <c r="E115" s="21" t="str">
        <f t="shared" ca="1" si="13"/>
        <v>LOMV-5729</v>
      </c>
      <c r="F115" s="19" t="str">
        <f t="shared" ca="1" si="14"/>
        <v>08:59</v>
      </c>
      <c r="G115" s="19" t="str">
        <f t="shared" ca="1" si="15"/>
        <v>14:20</v>
      </c>
      <c r="H115" s="19">
        <f t="shared" ca="1" si="16"/>
        <v>0.22291666666666671</v>
      </c>
      <c r="I115" s="21" t="str">
        <f t="shared" ca="1" si="17"/>
        <v>Cartão</v>
      </c>
      <c r="J115" s="16">
        <f t="shared" ca="1" si="18"/>
        <v>64.200000000000017</v>
      </c>
      <c r="K115" s="21" t="str">
        <f t="shared" ca="1" si="19"/>
        <v>A4</v>
      </c>
      <c r="L115" s="21" t="s">
        <v>18</v>
      </c>
    </row>
    <row r="116" spans="2:12" x14ac:dyDescent="0.3">
      <c r="B116" s="21">
        <f t="shared" si="10"/>
        <v>109</v>
      </c>
      <c r="C116" s="11">
        <f t="shared" ca="1" si="11"/>
        <v>44435</v>
      </c>
      <c r="D116" s="21" t="str">
        <f t="shared" ca="1" si="12"/>
        <v>CARRO MÉDIO</v>
      </c>
      <c r="E116" s="21" t="str">
        <f t="shared" ca="1" si="13"/>
        <v>TNDF-2219</v>
      </c>
      <c r="F116" s="19" t="str">
        <f t="shared" ca="1" si="14"/>
        <v>10:29</v>
      </c>
      <c r="G116" s="19" t="str">
        <f t="shared" ca="1" si="15"/>
        <v>12:43</v>
      </c>
      <c r="H116" s="19">
        <f t="shared" ca="1" si="16"/>
        <v>9.3055555555555614E-2</v>
      </c>
      <c r="I116" s="21" t="str">
        <f t="shared" ca="1" si="17"/>
        <v>Dinheiro</v>
      </c>
      <c r="J116" s="16">
        <f t="shared" ca="1" si="18"/>
        <v>33.500000000000021</v>
      </c>
      <c r="K116" s="21" t="str">
        <f t="shared" ca="1" si="19"/>
        <v>A1</v>
      </c>
      <c r="L116" s="21" t="s">
        <v>18</v>
      </c>
    </row>
    <row r="117" spans="2:12" x14ac:dyDescent="0.3">
      <c r="B117" s="21">
        <f t="shared" si="10"/>
        <v>110</v>
      </c>
      <c r="C117" s="11">
        <f t="shared" ca="1" si="11"/>
        <v>44415</v>
      </c>
      <c r="D117" s="21" t="str">
        <f t="shared" ca="1" si="12"/>
        <v>CARRO GRANDE</v>
      </c>
      <c r="E117" s="21" t="str">
        <f t="shared" ca="1" si="13"/>
        <v>RWFY-9970</v>
      </c>
      <c r="F117" s="19" t="str">
        <f t="shared" ca="1" si="14"/>
        <v>08:09</v>
      </c>
      <c r="G117" s="19" t="str">
        <f t="shared" ca="1" si="15"/>
        <v>13:26</v>
      </c>
      <c r="H117" s="19">
        <f t="shared" ca="1" si="16"/>
        <v>0.22013888888888888</v>
      </c>
      <c r="I117" s="21" t="str">
        <f t="shared" ca="1" si="17"/>
        <v>Dinheiro</v>
      </c>
      <c r="J117" s="16">
        <f t="shared" ca="1" si="18"/>
        <v>105.66666666666666</v>
      </c>
      <c r="K117" s="21" t="str">
        <f t="shared" ca="1" si="19"/>
        <v>C4</v>
      </c>
      <c r="L117" s="21" t="s">
        <v>18</v>
      </c>
    </row>
    <row r="118" spans="2:12" x14ac:dyDescent="0.3">
      <c r="B118" s="21">
        <f t="shared" si="10"/>
        <v>111</v>
      </c>
      <c r="C118" s="11">
        <f t="shared" ca="1" si="11"/>
        <v>44376</v>
      </c>
      <c r="D118" s="21" t="str">
        <f t="shared" ca="1" si="12"/>
        <v>CARRO PEQUENO</v>
      </c>
      <c r="E118" s="21" t="str">
        <f t="shared" ca="1" si="13"/>
        <v>FVTB-1811</v>
      </c>
      <c r="F118" s="19" t="str">
        <f t="shared" ca="1" si="14"/>
        <v>11:16</v>
      </c>
      <c r="G118" s="19" t="str">
        <f t="shared" ca="1" si="15"/>
        <v>13:31</v>
      </c>
      <c r="H118" s="19">
        <f t="shared" ca="1" si="16"/>
        <v>9.3749999999999944E-2</v>
      </c>
      <c r="I118" s="21" t="str">
        <f t="shared" ca="1" si="17"/>
        <v>Cartão</v>
      </c>
      <c r="J118" s="16">
        <f t="shared" ca="1" si="18"/>
        <v>26.999999999999986</v>
      </c>
      <c r="K118" s="21" t="str">
        <f t="shared" ca="1" si="19"/>
        <v>C2</v>
      </c>
      <c r="L118" s="21" t="s">
        <v>18</v>
      </c>
    </row>
    <row r="119" spans="2:12" x14ac:dyDescent="0.3">
      <c r="B119" s="21">
        <f t="shared" si="10"/>
        <v>112</v>
      </c>
      <c r="C119" s="11">
        <f t="shared" ca="1" si="11"/>
        <v>44362</v>
      </c>
      <c r="D119" s="21" t="str">
        <f t="shared" ca="1" si="12"/>
        <v>CARRO MÉDIO</v>
      </c>
      <c r="E119" s="21" t="str">
        <f t="shared" ca="1" si="13"/>
        <v>QIMA-9972</v>
      </c>
      <c r="F119" s="19" t="str">
        <f t="shared" ca="1" si="14"/>
        <v>10:04</v>
      </c>
      <c r="G119" s="19" t="str">
        <f t="shared" ca="1" si="15"/>
        <v>13:59</v>
      </c>
      <c r="H119" s="19">
        <f t="shared" ca="1" si="16"/>
        <v>0.16319444444444436</v>
      </c>
      <c r="I119" s="21" t="str">
        <f t="shared" ca="1" si="17"/>
        <v>Cartão</v>
      </c>
      <c r="J119" s="16">
        <f t="shared" ca="1" si="18"/>
        <v>58.749999999999972</v>
      </c>
      <c r="K119" s="21" t="str">
        <f t="shared" ca="1" si="19"/>
        <v>C2</v>
      </c>
      <c r="L119" s="21" t="s">
        <v>18</v>
      </c>
    </row>
    <row r="120" spans="2:12" x14ac:dyDescent="0.3">
      <c r="B120" s="21">
        <f t="shared" si="10"/>
        <v>113</v>
      </c>
      <c r="C120" s="11">
        <f t="shared" ca="1" si="11"/>
        <v>44371</v>
      </c>
      <c r="D120" s="21" t="str">
        <f t="shared" ca="1" si="12"/>
        <v>MOTO</v>
      </c>
      <c r="E120" s="21" t="str">
        <f t="shared" ca="1" si="13"/>
        <v>EMXD-3623</v>
      </c>
      <c r="F120" s="19" t="str">
        <f t="shared" ca="1" si="14"/>
        <v>08:49</v>
      </c>
      <c r="G120" s="19" t="str">
        <f t="shared" ca="1" si="15"/>
        <v>15:58</v>
      </c>
      <c r="H120" s="19">
        <f t="shared" ca="1" si="16"/>
        <v>0.29791666666666666</v>
      </c>
      <c r="I120" s="21" t="str">
        <f t="shared" ca="1" si="17"/>
        <v>Cartão</v>
      </c>
      <c r="J120" s="16">
        <f t="shared" ca="1" si="18"/>
        <v>64.350000000000009</v>
      </c>
      <c r="K120" s="21" t="str">
        <f t="shared" ca="1" si="19"/>
        <v>C2</v>
      </c>
      <c r="L120" s="21" t="s">
        <v>18</v>
      </c>
    </row>
    <row r="121" spans="2:12" x14ac:dyDescent="0.3">
      <c r="B121" s="21">
        <f t="shared" si="10"/>
        <v>114</v>
      </c>
      <c r="C121" s="11">
        <f t="shared" ca="1" si="11"/>
        <v>44423</v>
      </c>
      <c r="D121" s="21" t="str">
        <f t="shared" ca="1" si="12"/>
        <v>MOTO</v>
      </c>
      <c r="E121" s="21" t="str">
        <f t="shared" ca="1" si="13"/>
        <v>LPFW-3003</v>
      </c>
      <c r="F121" s="19" t="str">
        <f t="shared" ca="1" si="14"/>
        <v>10:13</v>
      </c>
      <c r="G121" s="19" t="str">
        <f t="shared" ca="1" si="15"/>
        <v>12:19</v>
      </c>
      <c r="H121" s="19">
        <f t="shared" ca="1" si="16"/>
        <v>8.7499999999999967E-2</v>
      </c>
      <c r="I121" s="21" t="str">
        <f t="shared" ca="1" si="17"/>
        <v>Cartão</v>
      </c>
      <c r="J121" s="16">
        <f t="shared" ca="1" si="18"/>
        <v>18.899999999999991</v>
      </c>
      <c r="K121" s="21" t="str">
        <f t="shared" ca="1" si="19"/>
        <v>A2</v>
      </c>
      <c r="L121" s="21" t="s">
        <v>18</v>
      </c>
    </row>
    <row r="122" spans="2:12" x14ac:dyDescent="0.3">
      <c r="B122" s="21">
        <f t="shared" si="10"/>
        <v>115</v>
      </c>
      <c r="C122" s="11">
        <f t="shared" ca="1" si="11"/>
        <v>44398</v>
      </c>
      <c r="D122" s="21" t="str">
        <f t="shared" ca="1" si="12"/>
        <v>CARRO PEQUENO</v>
      </c>
      <c r="E122" s="21" t="str">
        <f t="shared" ca="1" si="13"/>
        <v>QZKH-5114</v>
      </c>
      <c r="F122" s="19" t="str">
        <f t="shared" ca="1" si="14"/>
        <v>10:50</v>
      </c>
      <c r="G122" s="19" t="str">
        <f t="shared" ca="1" si="15"/>
        <v>14:07</v>
      </c>
      <c r="H122" s="19">
        <f t="shared" ca="1" si="16"/>
        <v>0.13680555555555557</v>
      </c>
      <c r="I122" s="21" t="str">
        <f t="shared" ca="1" si="17"/>
        <v>Dinheiro</v>
      </c>
      <c r="J122" s="16">
        <f t="shared" ca="1" si="18"/>
        <v>39.400000000000006</v>
      </c>
      <c r="K122" s="21" t="str">
        <f t="shared" ca="1" si="19"/>
        <v>A3</v>
      </c>
      <c r="L122" s="21" t="s">
        <v>18</v>
      </c>
    </row>
    <row r="123" spans="2:12" x14ac:dyDescent="0.3">
      <c r="B123" s="21">
        <f t="shared" si="10"/>
        <v>116</v>
      </c>
      <c r="C123" s="11">
        <f t="shared" ca="1" si="11"/>
        <v>44371</v>
      </c>
      <c r="D123" s="21" t="str">
        <f t="shared" ca="1" si="12"/>
        <v>CARRO MÉDIO</v>
      </c>
      <c r="E123" s="21" t="str">
        <f t="shared" ca="1" si="13"/>
        <v>FZUO-9685</v>
      </c>
      <c r="F123" s="19" t="str">
        <f t="shared" ca="1" si="14"/>
        <v>11:58</v>
      </c>
      <c r="G123" s="19" t="str">
        <f t="shared" ca="1" si="15"/>
        <v>13:40</v>
      </c>
      <c r="H123" s="19">
        <f t="shared" ca="1" si="16"/>
        <v>7.0833333333333304E-2</v>
      </c>
      <c r="I123" s="21" t="str">
        <f t="shared" ca="1" si="17"/>
        <v>Cartão</v>
      </c>
      <c r="J123" s="16">
        <f t="shared" ca="1" si="18"/>
        <v>25.499999999999989</v>
      </c>
      <c r="K123" s="21" t="str">
        <f t="shared" ca="1" si="19"/>
        <v>B1</v>
      </c>
      <c r="L123" s="21" t="s">
        <v>18</v>
      </c>
    </row>
    <row r="124" spans="2:12" x14ac:dyDescent="0.3">
      <c r="B124" s="21">
        <f t="shared" si="10"/>
        <v>117</v>
      </c>
      <c r="C124" s="11">
        <f t="shared" ca="1" si="11"/>
        <v>44462</v>
      </c>
      <c r="D124" s="21" t="str">
        <f t="shared" ca="1" si="12"/>
        <v>CARRO PEQUENO</v>
      </c>
      <c r="E124" s="21" t="str">
        <f t="shared" ca="1" si="13"/>
        <v>MKWP-1483</v>
      </c>
      <c r="F124" s="19" t="str">
        <f t="shared" ca="1" si="14"/>
        <v>09:33</v>
      </c>
      <c r="G124" s="19" t="str">
        <f t="shared" ca="1" si="15"/>
        <v>15:06</v>
      </c>
      <c r="H124" s="19">
        <f t="shared" ca="1" si="16"/>
        <v>0.23124999999999996</v>
      </c>
      <c r="I124" s="21" t="str">
        <f t="shared" ca="1" si="17"/>
        <v>Dinheiro</v>
      </c>
      <c r="J124" s="16">
        <f t="shared" ca="1" si="18"/>
        <v>66.599999999999994</v>
      </c>
      <c r="K124" s="21" t="str">
        <f t="shared" ca="1" si="19"/>
        <v>C5</v>
      </c>
      <c r="L124" s="21" t="s">
        <v>18</v>
      </c>
    </row>
    <row r="125" spans="2:12" x14ac:dyDescent="0.3">
      <c r="B125" s="21">
        <f t="shared" si="10"/>
        <v>118</v>
      </c>
      <c r="C125" s="11">
        <f t="shared" ca="1" si="11"/>
        <v>44368</v>
      </c>
      <c r="D125" s="21" t="str">
        <f t="shared" ca="1" si="12"/>
        <v>MOTO</v>
      </c>
      <c r="E125" s="21" t="str">
        <f t="shared" ca="1" si="13"/>
        <v>YIYY-3481</v>
      </c>
      <c r="F125" s="19" t="str">
        <f t="shared" ca="1" si="14"/>
        <v>09:30</v>
      </c>
      <c r="G125" s="19" t="str">
        <f t="shared" ca="1" si="15"/>
        <v>15:38</v>
      </c>
      <c r="H125" s="19">
        <f t="shared" ca="1" si="16"/>
        <v>0.25555555555555559</v>
      </c>
      <c r="I125" s="21" t="str">
        <f t="shared" ca="1" si="17"/>
        <v>Dinheiro</v>
      </c>
      <c r="J125" s="16">
        <f t="shared" ca="1" si="18"/>
        <v>55.20000000000001</v>
      </c>
      <c r="K125" s="21" t="str">
        <f t="shared" ca="1" si="19"/>
        <v>C5</v>
      </c>
      <c r="L125" s="21" t="s">
        <v>18</v>
      </c>
    </row>
    <row r="126" spans="2:12" x14ac:dyDescent="0.3">
      <c r="B126" s="21">
        <f t="shared" si="10"/>
        <v>119</v>
      </c>
      <c r="C126" s="11">
        <f t="shared" ca="1" si="11"/>
        <v>44432</v>
      </c>
      <c r="D126" s="21" t="str">
        <f t="shared" ca="1" si="12"/>
        <v>CARRO PEQUENO</v>
      </c>
      <c r="E126" s="21" t="str">
        <f t="shared" ca="1" si="13"/>
        <v>NFHD-7524</v>
      </c>
      <c r="F126" s="19" t="str">
        <f t="shared" ca="1" si="14"/>
        <v>11:33</v>
      </c>
      <c r="G126" s="19" t="str">
        <f t="shared" ca="1" si="15"/>
        <v>14:49</v>
      </c>
      <c r="H126" s="19">
        <f t="shared" ca="1" si="16"/>
        <v>0.13611111111111113</v>
      </c>
      <c r="I126" s="21" t="str">
        <f t="shared" ca="1" si="17"/>
        <v>Cartão</v>
      </c>
      <c r="J126" s="16">
        <f t="shared" ca="1" si="18"/>
        <v>39.200000000000003</v>
      </c>
      <c r="K126" s="21" t="str">
        <f t="shared" ca="1" si="19"/>
        <v>A2</v>
      </c>
      <c r="L126" s="21" t="s">
        <v>18</v>
      </c>
    </row>
    <row r="127" spans="2:12" x14ac:dyDescent="0.3">
      <c r="B127" s="21">
        <f t="shared" si="10"/>
        <v>120</v>
      </c>
      <c r="C127" s="11">
        <f t="shared" ca="1" si="11"/>
        <v>44351</v>
      </c>
      <c r="D127" s="21" t="str">
        <f t="shared" ca="1" si="12"/>
        <v>MOTO</v>
      </c>
      <c r="E127" s="21" t="str">
        <f t="shared" ca="1" si="13"/>
        <v>LKQW-7851</v>
      </c>
      <c r="F127" s="19" t="str">
        <f t="shared" ca="1" si="14"/>
        <v>09:23</v>
      </c>
      <c r="G127" s="19" t="str">
        <f t="shared" ca="1" si="15"/>
        <v>13:16</v>
      </c>
      <c r="H127" s="19">
        <f t="shared" ca="1" si="16"/>
        <v>0.16180555555555559</v>
      </c>
      <c r="I127" s="21" t="str">
        <f t="shared" ca="1" si="17"/>
        <v>Cartão</v>
      </c>
      <c r="J127" s="16">
        <f t="shared" ca="1" si="18"/>
        <v>34.95000000000001</v>
      </c>
      <c r="K127" s="21" t="str">
        <f t="shared" ca="1" si="19"/>
        <v>B5</v>
      </c>
      <c r="L127" s="21" t="s">
        <v>18</v>
      </c>
    </row>
    <row r="128" spans="2:12" x14ac:dyDescent="0.3">
      <c r="B128" s="21">
        <f t="shared" si="10"/>
        <v>121</v>
      </c>
      <c r="C128" s="11">
        <f t="shared" ca="1" si="11"/>
        <v>44420</v>
      </c>
      <c r="D128" s="21" t="str">
        <f t="shared" ca="1" si="12"/>
        <v>CARRO MÉDIO</v>
      </c>
      <c r="E128" s="21" t="str">
        <f t="shared" ca="1" si="13"/>
        <v>IMGI-7361</v>
      </c>
      <c r="F128" s="19" t="str">
        <f t="shared" ca="1" si="14"/>
        <v>10:51</v>
      </c>
      <c r="G128" s="19" t="str">
        <f t="shared" ca="1" si="15"/>
        <v>14:47</v>
      </c>
      <c r="H128" s="19">
        <f t="shared" ca="1" si="16"/>
        <v>0.16388888888888892</v>
      </c>
      <c r="I128" s="21" t="str">
        <f t="shared" ca="1" si="17"/>
        <v>Dinheiro</v>
      </c>
      <c r="J128" s="16">
        <f t="shared" ca="1" si="18"/>
        <v>59.000000000000007</v>
      </c>
      <c r="K128" s="21" t="str">
        <f t="shared" ca="1" si="19"/>
        <v>A5</v>
      </c>
      <c r="L128" s="21" t="s">
        <v>18</v>
      </c>
    </row>
    <row r="129" spans="2:12" x14ac:dyDescent="0.3">
      <c r="B129" s="21">
        <f t="shared" si="10"/>
        <v>122</v>
      </c>
      <c r="C129" s="11">
        <f t="shared" ca="1" si="11"/>
        <v>44388</v>
      </c>
      <c r="D129" s="21" t="str">
        <f t="shared" ca="1" si="12"/>
        <v>MOTO</v>
      </c>
      <c r="E129" s="21" t="str">
        <f t="shared" ca="1" si="13"/>
        <v>WVHR-2399</v>
      </c>
      <c r="F129" s="19" t="str">
        <f t="shared" ca="1" si="14"/>
        <v>07:26</v>
      </c>
      <c r="G129" s="19" t="str">
        <f t="shared" ca="1" si="15"/>
        <v>13:03</v>
      </c>
      <c r="H129" s="19">
        <f t="shared" ca="1" si="16"/>
        <v>0.23402777777777783</v>
      </c>
      <c r="I129" s="21" t="str">
        <f t="shared" ca="1" si="17"/>
        <v>Dinheiro</v>
      </c>
      <c r="J129" s="16">
        <f t="shared" ca="1" si="18"/>
        <v>50.550000000000011</v>
      </c>
      <c r="K129" s="21" t="str">
        <f t="shared" ca="1" si="19"/>
        <v>C1</v>
      </c>
      <c r="L129" s="21" t="s">
        <v>18</v>
      </c>
    </row>
    <row r="130" spans="2:12" x14ac:dyDescent="0.3">
      <c r="B130" s="21">
        <f t="shared" si="10"/>
        <v>123</v>
      </c>
      <c r="C130" s="11">
        <f t="shared" ca="1" si="11"/>
        <v>44400</v>
      </c>
      <c r="D130" s="21" t="str">
        <f t="shared" ca="1" si="12"/>
        <v>CARRO MÉDIO</v>
      </c>
      <c r="E130" s="21" t="str">
        <f t="shared" ca="1" si="13"/>
        <v>BBNO-4059</v>
      </c>
      <c r="F130" s="19" t="str">
        <f t="shared" ca="1" si="14"/>
        <v>11:10</v>
      </c>
      <c r="G130" s="19" t="str">
        <f t="shared" ca="1" si="15"/>
        <v>12:37</v>
      </c>
      <c r="H130" s="19">
        <f t="shared" ca="1" si="16"/>
        <v>6.041666666666673E-2</v>
      </c>
      <c r="I130" s="21" t="str">
        <f t="shared" ca="1" si="17"/>
        <v>Cartão</v>
      </c>
      <c r="J130" s="16">
        <f t="shared" ca="1" si="18"/>
        <v>21.750000000000021</v>
      </c>
      <c r="K130" s="21" t="str">
        <f t="shared" ca="1" si="19"/>
        <v>B4</v>
      </c>
      <c r="L130" s="21" t="s">
        <v>18</v>
      </c>
    </row>
    <row r="131" spans="2:12" x14ac:dyDescent="0.3">
      <c r="B131" s="21">
        <f t="shared" si="10"/>
        <v>124</v>
      </c>
      <c r="C131" s="11">
        <f t="shared" ca="1" si="11"/>
        <v>44395</v>
      </c>
      <c r="D131" s="21" t="str">
        <f t="shared" ca="1" si="12"/>
        <v>CARRO MÉDIO</v>
      </c>
      <c r="E131" s="21" t="str">
        <f t="shared" ca="1" si="13"/>
        <v>QWLG-1421</v>
      </c>
      <c r="F131" s="19" t="str">
        <f t="shared" ca="1" si="14"/>
        <v>09:57</v>
      </c>
      <c r="G131" s="19" t="str">
        <f t="shared" ca="1" si="15"/>
        <v>14:23</v>
      </c>
      <c r="H131" s="19">
        <f t="shared" ca="1" si="16"/>
        <v>0.18472222222222223</v>
      </c>
      <c r="I131" s="21" t="str">
        <f t="shared" ca="1" si="17"/>
        <v>Dinheiro</v>
      </c>
      <c r="J131" s="16">
        <f t="shared" ca="1" si="18"/>
        <v>66.5</v>
      </c>
      <c r="K131" s="21" t="str">
        <f t="shared" ca="1" si="19"/>
        <v>B3</v>
      </c>
      <c r="L131" s="21" t="s">
        <v>18</v>
      </c>
    </row>
    <row r="132" spans="2:12" x14ac:dyDescent="0.3">
      <c r="B132" s="21">
        <f t="shared" si="10"/>
        <v>125</v>
      </c>
      <c r="C132" s="11">
        <f t="shared" ca="1" si="11"/>
        <v>44358</v>
      </c>
      <c r="D132" s="21" t="str">
        <f t="shared" ca="1" si="12"/>
        <v>MOTO</v>
      </c>
      <c r="E132" s="21" t="str">
        <f t="shared" ca="1" si="13"/>
        <v>KDMV-2556</v>
      </c>
      <c r="F132" s="19" t="str">
        <f t="shared" ca="1" si="14"/>
        <v>08:14</v>
      </c>
      <c r="G132" s="19" t="str">
        <f t="shared" ca="1" si="15"/>
        <v>13:04</v>
      </c>
      <c r="H132" s="19">
        <f t="shared" ca="1" si="16"/>
        <v>0.2013888888888889</v>
      </c>
      <c r="I132" s="21" t="str">
        <f t="shared" ca="1" si="17"/>
        <v>Cartão</v>
      </c>
      <c r="J132" s="16">
        <f t="shared" ca="1" si="18"/>
        <v>43.500000000000007</v>
      </c>
      <c r="K132" s="21" t="str">
        <f t="shared" ca="1" si="19"/>
        <v>C2</v>
      </c>
      <c r="L132" s="21" t="s">
        <v>18</v>
      </c>
    </row>
    <row r="133" spans="2:12" x14ac:dyDescent="0.3">
      <c r="B133" s="21">
        <f t="shared" si="10"/>
        <v>126</v>
      </c>
      <c r="C133" s="11">
        <f t="shared" ca="1" si="11"/>
        <v>44380</v>
      </c>
      <c r="D133" s="21" t="str">
        <f t="shared" ca="1" si="12"/>
        <v>CARRO PEQUENO</v>
      </c>
      <c r="E133" s="21" t="str">
        <f t="shared" ca="1" si="13"/>
        <v>CZEA-1186</v>
      </c>
      <c r="F133" s="19" t="str">
        <f t="shared" ca="1" si="14"/>
        <v>11:07</v>
      </c>
      <c r="G133" s="19" t="str">
        <f t="shared" ca="1" si="15"/>
        <v>15:04</v>
      </c>
      <c r="H133" s="19">
        <f t="shared" ca="1" si="16"/>
        <v>0.1645833333333333</v>
      </c>
      <c r="I133" s="21" t="str">
        <f t="shared" ca="1" si="17"/>
        <v>Dinheiro</v>
      </c>
      <c r="J133" s="16">
        <f t="shared" ca="1" si="18"/>
        <v>47.399999999999991</v>
      </c>
      <c r="K133" s="21" t="str">
        <f t="shared" ca="1" si="19"/>
        <v>A4</v>
      </c>
      <c r="L133" s="21" t="s">
        <v>18</v>
      </c>
    </row>
    <row r="134" spans="2:12" x14ac:dyDescent="0.3">
      <c r="B134" s="21">
        <f t="shared" si="10"/>
        <v>127</v>
      </c>
      <c r="C134" s="11">
        <f t="shared" ca="1" si="11"/>
        <v>44449</v>
      </c>
      <c r="D134" s="21" t="str">
        <f t="shared" ca="1" si="12"/>
        <v>CARRO PEQUENO</v>
      </c>
      <c r="E134" s="21" t="str">
        <f t="shared" ca="1" si="13"/>
        <v>JOGF-9594</v>
      </c>
      <c r="F134" s="19" t="str">
        <f t="shared" ca="1" si="14"/>
        <v>09:28</v>
      </c>
      <c r="G134" s="19" t="str">
        <f t="shared" ca="1" si="15"/>
        <v>15:34</v>
      </c>
      <c r="H134" s="19">
        <f t="shared" ca="1" si="16"/>
        <v>0.25416666666666671</v>
      </c>
      <c r="I134" s="21" t="str">
        <f t="shared" ca="1" si="17"/>
        <v>Dinheiro</v>
      </c>
      <c r="J134" s="16">
        <f t="shared" ca="1" si="18"/>
        <v>73.200000000000017</v>
      </c>
      <c r="K134" s="21" t="str">
        <f t="shared" ca="1" si="19"/>
        <v>B1</v>
      </c>
      <c r="L134" s="21" t="s">
        <v>18</v>
      </c>
    </row>
    <row r="135" spans="2:12" x14ac:dyDescent="0.3">
      <c r="B135" s="21">
        <f t="shared" si="10"/>
        <v>128</v>
      </c>
      <c r="C135" s="11">
        <f t="shared" ca="1" si="11"/>
        <v>44457</v>
      </c>
      <c r="D135" s="21" t="str">
        <f t="shared" ca="1" si="12"/>
        <v>CARRO PEQUENO</v>
      </c>
      <c r="E135" s="21" t="str">
        <f t="shared" ca="1" si="13"/>
        <v>YNNO-6016</v>
      </c>
      <c r="F135" s="19" t="str">
        <f t="shared" ca="1" si="14"/>
        <v>11:42</v>
      </c>
      <c r="G135" s="19" t="str">
        <f t="shared" ca="1" si="15"/>
        <v>13:45</v>
      </c>
      <c r="H135" s="19">
        <f t="shared" ca="1" si="16"/>
        <v>8.5416666666666641E-2</v>
      </c>
      <c r="I135" s="21" t="str">
        <f t="shared" ca="1" si="17"/>
        <v>Cartão</v>
      </c>
      <c r="J135" s="16">
        <f t="shared" ca="1" si="18"/>
        <v>24.599999999999994</v>
      </c>
      <c r="K135" s="21" t="str">
        <f t="shared" ca="1" si="19"/>
        <v>A5</v>
      </c>
      <c r="L135" s="21" t="s">
        <v>18</v>
      </c>
    </row>
    <row r="136" spans="2:12" x14ac:dyDescent="0.3">
      <c r="B136" s="21">
        <f t="shared" si="10"/>
        <v>129</v>
      </c>
      <c r="C136" s="11">
        <f t="shared" ca="1" si="11"/>
        <v>44436</v>
      </c>
      <c r="D136" s="21" t="str">
        <f t="shared" ca="1" si="12"/>
        <v>MOTO</v>
      </c>
      <c r="E136" s="21" t="str">
        <f t="shared" ca="1" si="13"/>
        <v>PXHX-9486</v>
      </c>
      <c r="F136" s="19" t="str">
        <f t="shared" ca="1" si="14"/>
        <v>11:22</v>
      </c>
      <c r="G136" s="19" t="str">
        <f t="shared" ca="1" si="15"/>
        <v>13:53</v>
      </c>
      <c r="H136" s="19">
        <f t="shared" ca="1" si="16"/>
        <v>0.10486111111111102</v>
      </c>
      <c r="I136" s="21" t="str">
        <f t="shared" ca="1" si="17"/>
        <v>Cartão</v>
      </c>
      <c r="J136" s="16">
        <f t="shared" ca="1" si="18"/>
        <v>22.649999999999981</v>
      </c>
      <c r="K136" s="21" t="str">
        <f t="shared" ca="1" si="19"/>
        <v>A3</v>
      </c>
      <c r="L136" s="21" t="s">
        <v>18</v>
      </c>
    </row>
    <row r="137" spans="2:12" x14ac:dyDescent="0.3">
      <c r="B137" s="21">
        <f t="shared" ref="B137:B200" si="20">ROW(A130)</f>
        <v>130</v>
      </c>
      <c r="C137" s="11">
        <f t="shared" ref="C137:C200" ca="1" si="21">DATE(2021,RANDBETWEEN(6,9),RANDBETWEEN(1,31))</f>
        <v>44440</v>
      </c>
      <c r="D137" s="21" t="str">
        <f t="shared" ref="D137:D200" ca="1" si="22">CHOOSE(RANDBETWEEN(1,4),$D$2,$D$3,$D$4,$D$5)</f>
        <v>CARRO GRANDE</v>
      </c>
      <c r="E137" s="21" t="str">
        <f t="shared" ref="E137:E200" ca="1" si="23">CHAR(RANDBETWEEN(65,90))&amp;CHAR(RANDBETWEEN(65,90))&amp;CHAR(RANDBETWEEN(65,90))&amp;CHAR(RANDBETWEEN(65,90))&amp;"-"&amp;RANDBETWEEN(1111,9999)</f>
        <v>UENT-9055</v>
      </c>
      <c r="F137" s="19" t="str">
        <f t="shared" ref="F137:F200" ca="1" si="24">TEXT(RANDBETWEEN(7,11)&amp;":"&amp;RANDBETWEEN(1,59),"HH:MM")</f>
        <v>08:15</v>
      </c>
      <c r="G137" s="19" t="str">
        <f t="shared" ref="G137:G200" ca="1" si="25">TEXT(RANDBETWEEN(12,15)&amp;":"&amp;RANDBETWEEN(1,59),"HH:MM")</f>
        <v>15:46</v>
      </c>
      <c r="H137" s="19">
        <f t="shared" ref="H137:H200" ca="1" si="26">G137-F137</f>
        <v>0.31319444444444444</v>
      </c>
      <c r="I137" s="21" t="str">
        <f t="shared" ref="I137:I200" ca="1" si="27">CHOOSE(RANDBETWEEN(1,2),"Cartão","Dinheiro")</f>
        <v>Cartão</v>
      </c>
      <c r="J137" s="16">
        <f t="shared" ref="J137:J200" ca="1" si="28">H137*24*IF(D137=$D$2,$E$2,IF(D137=$D$3,$E$3,IF(D137=$D$4,$E$4,IF(D137=$D$5,$E$5))))</f>
        <v>150.33333333333334</v>
      </c>
      <c r="K137" s="21" t="str">
        <f t="shared" ref="K137:K200" ca="1" si="29">CHOOSE(RANDBETWEEN(1,15),"A1","A2","A3","A4","A5","B1","B2","B3","B4","B5","C1","C2","C3","C4","C5")</f>
        <v>C3</v>
      </c>
      <c r="L137" s="21" t="s">
        <v>18</v>
      </c>
    </row>
    <row r="138" spans="2:12" x14ac:dyDescent="0.3">
      <c r="B138" s="21">
        <f t="shared" si="20"/>
        <v>131</v>
      </c>
      <c r="C138" s="11">
        <f t="shared" ca="1" si="21"/>
        <v>44437</v>
      </c>
      <c r="D138" s="21" t="str">
        <f t="shared" ca="1" si="22"/>
        <v>CARRO MÉDIO</v>
      </c>
      <c r="E138" s="21" t="str">
        <f t="shared" ca="1" si="23"/>
        <v>BQBX-6013</v>
      </c>
      <c r="F138" s="19" t="str">
        <f t="shared" ca="1" si="24"/>
        <v>09:19</v>
      </c>
      <c r="G138" s="19" t="str">
        <f t="shared" ca="1" si="25"/>
        <v>13:45</v>
      </c>
      <c r="H138" s="19">
        <f t="shared" ca="1" si="26"/>
        <v>0.18472222222222218</v>
      </c>
      <c r="I138" s="21" t="str">
        <f t="shared" ca="1" si="27"/>
        <v>Cartão</v>
      </c>
      <c r="J138" s="16">
        <f t="shared" ca="1" si="28"/>
        <v>66.499999999999972</v>
      </c>
      <c r="K138" s="21" t="str">
        <f t="shared" ca="1" si="29"/>
        <v>C4</v>
      </c>
      <c r="L138" s="21" t="s">
        <v>18</v>
      </c>
    </row>
    <row r="139" spans="2:12" x14ac:dyDescent="0.3">
      <c r="B139" s="21">
        <f t="shared" si="20"/>
        <v>132</v>
      </c>
      <c r="C139" s="11">
        <f t="shared" ca="1" si="21"/>
        <v>44404</v>
      </c>
      <c r="D139" s="21" t="str">
        <f t="shared" ca="1" si="22"/>
        <v>CARRO PEQUENO</v>
      </c>
      <c r="E139" s="21" t="str">
        <f t="shared" ca="1" si="23"/>
        <v>KDRA-7337</v>
      </c>
      <c r="F139" s="19" t="str">
        <f t="shared" ca="1" si="24"/>
        <v>08:38</v>
      </c>
      <c r="G139" s="19" t="str">
        <f t="shared" ca="1" si="25"/>
        <v>12:03</v>
      </c>
      <c r="H139" s="19">
        <f t="shared" ca="1" si="26"/>
        <v>0.1423611111111111</v>
      </c>
      <c r="I139" s="21" t="str">
        <f t="shared" ca="1" si="27"/>
        <v>Cartão</v>
      </c>
      <c r="J139" s="16">
        <f t="shared" ca="1" si="28"/>
        <v>41</v>
      </c>
      <c r="K139" s="21" t="str">
        <f t="shared" ca="1" si="29"/>
        <v>B4</v>
      </c>
      <c r="L139" s="21" t="s">
        <v>18</v>
      </c>
    </row>
    <row r="140" spans="2:12" x14ac:dyDescent="0.3">
      <c r="B140" s="21">
        <f t="shared" si="20"/>
        <v>133</v>
      </c>
      <c r="C140" s="11">
        <f t="shared" ca="1" si="21"/>
        <v>44434</v>
      </c>
      <c r="D140" s="21" t="str">
        <f t="shared" ca="1" si="22"/>
        <v>CARRO GRANDE</v>
      </c>
      <c r="E140" s="21" t="str">
        <f t="shared" ca="1" si="23"/>
        <v>CYEI-8614</v>
      </c>
      <c r="F140" s="19" t="str">
        <f t="shared" ca="1" si="24"/>
        <v>07:42</v>
      </c>
      <c r="G140" s="19" t="str">
        <f t="shared" ca="1" si="25"/>
        <v>14:58</v>
      </c>
      <c r="H140" s="19">
        <f t="shared" ca="1" si="26"/>
        <v>0.30277777777777776</v>
      </c>
      <c r="I140" s="21" t="str">
        <f t="shared" ca="1" si="27"/>
        <v>Cartão</v>
      </c>
      <c r="J140" s="16">
        <f t="shared" ca="1" si="28"/>
        <v>145.33333333333331</v>
      </c>
      <c r="K140" s="21" t="str">
        <f t="shared" ca="1" si="29"/>
        <v>B5</v>
      </c>
      <c r="L140" s="21" t="s">
        <v>18</v>
      </c>
    </row>
    <row r="141" spans="2:12" x14ac:dyDescent="0.3">
      <c r="B141" s="21">
        <f t="shared" si="20"/>
        <v>134</v>
      </c>
      <c r="C141" s="11">
        <f t="shared" ca="1" si="21"/>
        <v>44393</v>
      </c>
      <c r="D141" s="21" t="str">
        <f t="shared" ca="1" si="22"/>
        <v>MOTO</v>
      </c>
      <c r="E141" s="21" t="str">
        <f t="shared" ca="1" si="23"/>
        <v>LUCI-5561</v>
      </c>
      <c r="F141" s="19" t="str">
        <f t="shared" ca="1" si="24"/>
        <v>08:28</v>
      </c>
      <c r="G141" s="19" t="str">
        <f t="shared" ca="1" si="25"/>
        <v>15:41</v>
      </c>
      <c r="H141" s="19">
        <f t="shared" ca="1" si="26"/>
        <v>0.30069444444444443</v>
      </c>
      <c r="I141" s="21" t="str">
        <f t="shared" ca="1" si="27"/>
        <v>Dinheiro</v>
      </c>
      <c r="J141" s="16">
        <f t="shared" ca="1" si="28"/>
        <v>64.95</v>
      </c>
      <c r="K141" s="21" t="str">
        <f t="shared" ca="1" si="29"/>
        <v>C3</v>
      </c>
      <c r="L141" s="21" t="s">
        <v>18</v>
      </c>
    </row>
    <row r="142" spans="2:12" x14ac:dyDescent="0.3">
      <c r="B142" s="21">
        <f t="shared" si="20"/>
        <v>135</v>
      </c>
      <c r="C142" s="11">
        <f t="shared" ca="1" si="21"/>
        <v>44425</v>
      </c>
      <c r="D142" s="21" t="str">
        <f t="shared" ca="1" si="22"/>
        <v>CARRO MÉDIO</v>
      </c>
      <c r="E142" s="21" t="str">
        <f t="shared" ca="1" si="23"/>
        <v>OKOQ-7475</v>
      </c>
      <c r="F142" s="19" t="str">
        <f t="shared" ca="1" si="24"/>
        <v>07:37</v>
      </c>
      <c r="G142" s="19" t="str">
        <f t="shared" ca="1" si="25"/>
        <v>13:42</v>
      </c>
      <c r="H142" s="19">
        <f t="shared" ca="1" si="26"/>
        <v>0.25347222222222215</v>
      </c>
      <c r="I142" s="21" t="str">
        <f t="shared" ca="1" si="27"/>
        <v>Dinheiro</v>
      </c>
      <c r="J142" s="16">
        <f t="shared" ca="1" si="28"/>
        <v>91.249999999999986</v>
      </c>
      <c r="K142" s="21" t="str">
        <f t="shared" ca="1" si="29"/>
        <v>B3</v>
      </c>
      <c r="L142" s="21" t="s">
        <v>18</v>
      </c>
    </row>
    <row r="143" spans="2:12" x14ac:dyDescent="0.3">
      <c r="B143" s="21">
        <f t="shared" si="20"/>
        <v>136</v>
      </c>
      <c r="C143" s="11">
        <f t="shared" ca="1" si="21"/>
        <v>44466</v>
      </c>
      <c r="D143" s="21" t="str">
        <f t="shared" ca="1" si="22"/>
        <v>MOTO</v>
      </c>
      <c r="E143" s="21" t="str">
        <f t="shared" ca="1" si="23"/>
        <v>TOVC-7169</v>
      </c>
      <c r="F143" s="19" t="str">
        <f t="shared" ca="1" si="24"/>
        <v>09:31</v>
      </c>
      <c r="G143" s="19" t="str">
        <f t="shared" ca="1" si="25"/>
        <v>12:01</v>
      </c>
      <c r="H143" s="19">
        <f t="shared" ca="1" si="26"/>
        <v>0.10416666666666663</v>
      </c>
      <c r="I143" s="21" t="str">
        <f t="shared" ca="1" si="27"/>
        <v>Dinheiro</v>
      </c>
      <c r="J143" s="16">
        <f t="shared" ca="1" si="28"/>
        <v>22.499999999999993</v>
      </c>
      <c r="K143" s="21" t="str">
        <f t="shared" ca="1" si="29"/>
        <v>A4</v>
      </c>
      <c r="L143" s="21" t="s">
        <v>18</v>
      </c>
    </row>
    <row r="144" spans="2:12" x14ac:dyDescent="0.3">
      <c r="B144" s="21">
        <f t="shared" si="20"/>
        <v>137</v>
      </c>
      <c r="C144" s="11">
        <f t="shared" ca="1" si="21"/>
        <v>44434</v>
      </c>
      <c r="D144" s="21" t="str">
        <f t="shared" ca="1" si="22"/>
        <v>MOTO</v>
      </c>
      <c r="E144" s="21" t="str">
        <f t="shared" ca="1" si="23"/>
        <v>TKTD-9777</v>
      </c>
      <c r="F144" s="19" t="str">
        <f t="shared" ca="1" si="24"/>
        <v>11:23</v>
      </c>
      <c r="G144" s="19" t="str">
        <f t="shared" ca="1" si="25"/>
        <v>15:08</v>
      </c>
      <c r="H144" s="19">
        <f t="shared" ca="1" si="26"/>
        <v>0.15625</v>
      </c>
      <c r="I144" s="21" t="str">
        <f t="shared" ca="1" si="27"/>
        <v>Cartão</v>
      </c>
      <c r="J144" s="16">
        <f t="shared" ca="1" si="28"/>
        <v>33.75</v>
      </c>
      <c r="K144" s="21" t="str">
        <f t="shared" ca="1" si="29"/>
        <v>C5</v>
      </c>
      <c r="L144" s="21" t="s">
        <v>18</v>
      </c>
    </row>
    <row r="145" spans="2:12" x14ac:dyDescent="0.3">
      <c r="B145" s="21">
        <f t="shared" si="20"/>
        <v>138</v>
      </c>
      <c r="C145" s="11">
        <f t="shared" ca="1" si="21"/>
        <v>44423</v>
      </c>
      <c r="D145" s="21" t="str">
        <f t="shared" ca="1" si="22"/>
        <v>CARRO PEQUENO</v>
      </c>
      <c r="E145" s="21" t="str">
        <f t="shared" ca="1" si="23"/>
        <v>NPFA-7994</v>
      </c>
      <c r="F145" s="19" t="str">
        <f t="shared" ca="1" si="24"/>
        <v>09:41</v>
      </c>
      <c r="G145" s="19" t="str">
        <f t="shared" ca="1" si="25"/>
        <v>12:10</v>
      </c>
      <c r="H145" s="19">
        <f t="shared" ca="1" si="26"/>
        <v>0.10347222222222219</v>
      </c>
      <c r="I145" s="21" t="str">
        <f t="shared" ca="1" si="27"/>
        <v>Dinheiro</v>
      </c>
      <c r="J145" s="16">
        <f t="shared" ca="1" si="28"/>
        <v>29.79999999999999</v>
      </c>
      <c r="K145" s="21" t="str">
        <f t="shared" ca="1" si="29"/>
        <v>A2</v>
      </c>
      <c r="L145" s="21" t="s">
        <v>18</v>
      </c>
    </row>
    <row r="146" spans="2:12" x14ac:dyDescent="0.3">
      <c r="B146" s="21">
        <f t="shared" si="20"/>
        <v>139</v>
      </c>
      <c r="C146" s="11">
        <f t="shared" ca="1" si="21"/>
        <v>44453</v>
      </c>
      <c r="D146" s="21" t="str">
        <f t="shared" ca="1" si="22"/>
        <v>CARRO PEQUENO</v>
      </c>
      <c r="E146" s="21" t="str">
        <f t="shared" ca="1" si="23"/>
        <v>PMRU-6277</v>
      </c>
      <c r="F146" s="19" t="str">
        <f t="shared" ca="1" si="24"/>
        <v>11:53</v>
      </c>
      <c r="G146" s="19" t="str">
        <f t="shared" ca="1" si="25"/>
        <v>14:25</v>
      </c>
      <c r="H146" s="19">
        <f t="shared" ca="1" si="26"/>
        <v>0.10555555555555557</v>
      </c>
      <c r="I146" s="21" t="str">
        <f t="shared" ca="1" si="27"/>
        <v>Cartão</v>
      </c>
      <c r="J146" s="16">
        <f t="shared" ca="1" si="28"/>
        <v>30.400000000000006</v>
      </c>
      <c r="K146" s="21" t="str">
        <f t="shared" ca="1" si="29"/>
        <v>C2</v>
      </c>
      <c r="L146" s="21" t="s">
        <v>18</v>
      </c>
    </row>
    <row r="147" spans="2:12" x14ac:dyDescent="0.3">
      <c r="B147" s="21">
        <f t="shared" si="20"/>
        <v>140</v>
      </c>
      <c r="C147" s="11">
        <f t="shared" ca="1" si="21"/>
        <v>44438</v>
      </c>
      <c r="D147" s="21" t="str">
        <f t="shared" ca="1" si="22"/>
        <v>MOTO</v>
      </c>
      <c r="E147" s="21" t="str">
        <f t="shared" ca="1" si="23"/>
        <v>KROW-7039</v>
      </c>
      <c r="F147" s="19" t="str">
        <f t="shared" ca="1" si="24"/>
        <v>07:24</v>
      </c>
      <c r="G147" s="19" t="str">
        <f t="shared" ca="1" si="25"/>
        <v>13:40</v>
      </c>
      <c r="H147" s="19">
        <f t="shared" ca="1" si="26"/>
        <v>0.26111111111111107</v>
      </c>
      <c r="I147" s="21" t="str">
        <f t="shared" ca="1" si="27"/>
        <v>Cartão</v>
      </c>
      <c r="J147" s="16">
        <f t="shared" ca="1" si="28"/>
        <v>56.399999999999991</v>
      </c>
      <c r="K147" s="21" t="str">
        <f t="shared" ca="1" si="29"/>
        <v>C1</v>
      </c>
      <c r="L147" s="21" t="s">
        <v>18</v>
      </c>
    </row>
    <row r="148" spans="2:12" x14ac:dyDescent="0.3">
      <c r="B148" s="21">
        <f t="shared" si="20"/>
        <v>141</v>
      </c>
      <c r="C148" s="11">
        <f t="shared" ca="1" si="21"/>
        <v>44378</v>
      </c>
      <c r="D148" s="21" t="str">
        <f t="shared" ca="1" si="22"/>
        <v>CARRO GRANDE</v>
      </c>
      <c r="E148" s="21" t="str">
        <f t="shared" ca="1" si="23"/>
        <v>VNMJ-3989</v>
      </c>
      <c r="F148" s="19" t="str">
        <f t="shared" ca="1" si="24"/>
        <v>07:34</v>
      </c>
      <c r="G148" s="19" t="str">
        <f t="shared" ca="1" si="25"/>
        <v>13:43</v>
      </c>
      <c r="H148" s="19">
        <f t="shared" ca="1" si="26"/>
        <v>0.25624999999999998</v>
      </c>
      <c r="I148" s="21" t="str">
        <f t="shared" ca="1" si="27"/>
        <v>Dinheiro</v>
      </c>
      <c r="J148" s="16">
        <f t="shared" ca="1" si="28"/>
        <v>122.99999999999999</v>
      </c>
      <c r="K148" s="21" t="str">
        <f t="shared" ca="1" si="29"/>
        <v>B3</v>
      </c>
      <c r="L148" s="21" t="s">
        <v>18</v>
      </c>
    </row>
    <row r="149" spans="2:12" x14ac:dyDescent="0.3">
      <c r="B149" s="21">
        <f t="shared" si="20"/>
        <v>142</v>
      </c>
      <c r="C149" s="11">
        <f t="shared" ca="1" si="21"/>
        <v>44414</v>
      </c>
      <c r="D149" s="21" t="str">
        <f t="shared" ca="1" si="22"/>
        <v>MOTO</v>
      </c>
      <c r="E149" s="21" t="str">
        <f t="shared" ca="1" si="23"/>
        <v>SQKO-7343</v>
      </c>
      <c r="F149" s="19" t="str">
        <f t="shared" ca="1" si="24"/>
        <v>08:37</v>
      </c>
      <c r="G149" s="19" t="str">
        <f t="shared" ca="1" si="25"/>
        <v>12:15</v>
      </c>
      <c r="H149" s="19">
        <f t="shared" ca="1" si="26"/>
        <v>0.15138888888888885</v>
      </c>
      <c r="I149" s="21" t="str">
        <f t="shared" ca="1" si="27"/>
        <v>Cartão</v>
      </c>
      <c r="J149" s="16">
        <f t="shared" ca="1" si="28"/>
        <v>32.699999999999989</v>
      </c>
      <c r="K149" s="21" t="str">
        <f t="shared" ca="1" si="29"/>
        <v>A5</v>
      </c>
      <c r="L149" s="21" t="s">
        <v>18</v>
      </c>
    </row>
    <row r="150" spans="2:12" x14ac:dyDescent="0.3">
      <c r="B150" s="21">
        <f t="shared" si="20"/>
        <v>143</v>
      </c>
      <c r="C150" s="11">
        <f t="shared" ca="1" si="21"/>
        <v>44420</v>
      </c>
      <c r="D150" s="21" t="str">
        <f t="shared" ca="1" si="22"/>
        <v>CARRO GRANDE</v>
      </c>
      <c r="E150" s="21" t="str">
        <f t="shared" ca="1" si="23"/>
        <v>VQRP-7382</v>
      </c>
      <c r="F150" s="19" t="str">
        <f t="shared" ca="1" si="24"/>
        <v>08:05</v>
      </c>
      <c r="G150" s="19" t="str">
        <f t="shared" ca="1" si="25"/>
        <v>13:04</v>
      </c>
      <c r="H150" s="19">
        <f t="shared" ca="1" si="26"/>
        <v>0.20763888888888882</v>
      </c>
      <c r="I150" s="21" t="str">
        <f t="shared" ca="1" si="27"/>
        <v>Dinheiro</v>
      </c>
      <c r="J150" s="16">
        <f t="shared" ca="1" si="28"/>
        <v>99.666666666666629</v>
      </c>
      <c r="K150" s="21" t="str">
        <f t="shared" ca="1" si="29"/>
        <v>C5</v>
      </c>
      <c r="L150" s="21" t="s">
        <v>18</v>
      </c>
    </row>
    <row r="151" spans="2:12" x14ac:dyDescent="0.3">
      <c r="B151" s="21">
        <f t="shared" si="20"/>
        <v>144</v>
      </c>
      <c r="C151" s="11">
        <f t="shared" ca="1" si="21"/>
        <v>44441</v>
      </c>
      <c r="D151" s="21" t="str">
        <f t="shared" ca="1" si="22"/>
        <v>CARRO PEQUENO</v>
      </c>
      <c r="E151" s="21" t="str">
        <f t="shared" ca="1" si="23"/>
        <v>UACC-9266</v>
      </c>
      <c r="F151" s="19" t="str">
        <f t="shared" ca="1" si="24"/>
        <v>10:47</v>
      </c>
      <c r="G151" s="19" t="str">
        <f t="shared" ca="1" si="25"/>
        <v>14:30</v>
      </c>
      <c r="H151" s="19">
        <f t="shared" ca="1" si="26"/>
        <v>0.15486111111111106</v>
      </c>
      <c r="I151" s="21" t="str">
        <f t="shared" ca="1" si="27"/>
        <v>Dinheiro</v>
      </c>
      <c r="J151" s="16">
        <f t="shared" ca="1" si="28"/>
        <v>44.599999999999987</v>
      </c>
      <c r="K151" s="21" t="str">
        <f t="shared" ca="1" si="29"/>
        <v>C1</v>
      </c>
      <c r="L151" s="21" t="s">
        <v>18</v>
      </c>
    </row>
    <row r="152" spans="2:12" x14ac:dyDescent="0.3">
      <c r="B152" s="21">
        <f t="shared" si="20"/>
        <v>145</v>
      </c>
      <c r="C152" s="11">
        <f t="shared" ca="1" si="21"/>
        <v>44384</v>
      </c>
      <c r="D152" s="21" t="str">
        <f t="shared" ca="1" si="22"/>
        <v>MOTO</v>
      </c>
      <c r="E152" s="21" t="str">
        <f t="shared" ca="1" si="23"/>
        <v>LFYR-1872</v>
      </c>
      <c r="F152" s="19" t="str">
        <f t="shared" ca="1" si="24"/>
        <v>11:56</v>
      </c>
      <c r="G152" s="19" t="str">
        <f t="shared" ca="1" si="25"/>
        <v>12:06</v>
      </c>
      <c r="H152" s="19">
        <f t="shared" ca="1" si="26"/>
        <v>6.9444444444444198E-3</v>
      </c>
      <c r="I152" s="21" t="str">
        <f t="shared" ca="1" si="27"/>
        <v>Dinheiro</v>
      </c>
      <c r="J152" s="16">
        <f t="shared" ca="1" si="28"/>
        <v>1.4999999999999947</v>
      </c>
      <c r="K152" s="21" t="str">
        <f t="shared" ca="1" si="29"/>
        <v>C5</v>
      </c>
      <c r="L152" s="21" t="s">
        <v>18</v>
      </c>
    </row>
    <row r="153" spans="2:12" x14ac:dyDescent="0.3">
      <c r="B153" s="21">
        <f t="shared" si="20"/>
        <v>146</v>
      </c>
      <c r="C153" s="11">
        <f t="shared" ca="1" si="21"/>
        <v>44470</v>
      </c>
      <c r="D153" s="21" t="str">
        <f t="shared" ca="1" si="22"/>
        <v>CARRO MÉDIO</v>
      </c>
      <c r="E153" s="21" t="str">
        <f t="shared" ca="1" si="23"/>
        <v>YKGD-9131</v>
      </c>
      <c r="F153" s="19" t="str">
        <f t="shared" ca="1" si="24"/>
        <v>11:03</v>
      </c>
      <c r="G153" s="19" t="str">
        <f t="shared" ca="1" si="25"/>
        <v>13:19</v>
      </c>
      <c r="H153" s="19">
        <f t="shared" ca="1" si="26"/>
        <v>9.4444444444444442E-2</v>
      </c>
      <c r="I153" s="21" t="str">
        <f t="shared" ca="1" si="27"/>
        <v>Cartão</v>
      </c>
      <c r="J153" s="16">
        <f t="shared" ca="1" si="28"/>
        <v>34</v>
      </c>
      <c r="K153" s="21" t="str">
        <f t="shared" ca="1" si="29"/>
        <v>C4</v>
      </c>
      <c r="L153" s="21" t="s">
        <v>18</v>
      </c>
    </row>
    <row r="154" spans="2:12" x14ac:dyDescent="0.3">
      <c r="B154" s="21">
        <f t="shared" si="20"/>
        <v>147</v>
      </c>
      <c r="C154" s="11">
        <f t="shared" ca="1" si="21"/>
        <v>44455</v>
      </c>
      <c r="D154" s="21" t="str">
        <f t="shared" ca="1" si="22"/>
        <v>CARRO PEQUENO</v>
      </c>
      <c r="E154" s="21" t="str">
        <f t="shared" ca="1" si="23"/>
        <v>BWDK-2334</v>
      </c>
      <c r="F154" s="19" t="str">
        <f t="shared" ca="1" si="24"/>
        <v>11:57</v>
      </c>
      <c r="G154" s="19" t="str">
        <f t="shared" ca="1" si="25"/>
        <v>13:14</v>
      </c>
      <c r="H154" s="19">
        <f t="shared" ca="1" si="26"/>
        <v>5.3472222222222199E-2</v>
      </c>
      <c r="I154" s="21" t="str">
        <f t="shared" ca="1" si="27"/>
        <v>Dinheiro</v>
      </c>
      <c r="J154" s="16">
        <f t="shared" ca="1" si="28"/>
        <v>15.399999999999993</v>
      </c>
      <c r="K154" s="21" t="str">
        <f t="shared" ca="1" si="29"/>
        <v>B1</v>
      </c>
      <c r="L154" s="21" t="s">
        <v>18</v>
      </c>
    </row>
    <row r="155" spans="2:12" x14ac:dyDescent="0.3">
      <c r="B155" s="21">
        <f t="shared" si="20"/>
        <v>148</v>
      </c>
      <c r="C155" s="11">
        <f t="shared" ca="1" si="21"/>
        <v>44441</v>
      </c>
      <c r="D155" s="21" t="str">
        <f t="shared" ca="1" si="22"/>
        <v>CARRO MÉDIO</v>
      </c>
      <c r="E155" s="21" t="str">
        <f t="shared" ca="1" si="23"/>
        <v>PPMM-4974</v>
      </c>
      <c r="F155" s="19" t="str">
        <f t="shared" ca="1" si="24"/>
        <v>07:08</v>
      </c>
      <c r="G155" s="19" t="str">
        <f t="shared" ca="1" si="25"/>
        <v>13:08</v>
      </c>
      <c r="H155" s="19">
        <f t="shared" ca="1" si="26"/>
        <v>0.24999999999999994</v>
      </c>
      <c r="I155" s="21" t="str">
        <f t="shared" ca="1" si="27"/>
        <v>Cartão</v>
      </c>
      <c r="J155" s="16">
        <f t="shared" ca="1" si="28"/>
        <v>89.999999999999972</v>
      </c>
      <c r="K155" s="21" t="str">
        <f t="shared" ca="1" si="29"/>
        <v>A4</v>
      </c>
      <c r="L155" s="21" t="s">
        <v>18</v>
      </c>
    </row>
    <row r="156" spans="2:12" x14ac:dyDescent="0.3">
      <c r="B156" s="21">
        <f t="shared" si="20"/>
        <v>149</v>
      </c>
      <c r="C156" s="11">
        <f t="shared" ca="1" si="21"/>
        <v>44402</v>
      </c>
      <c r="D156" s="21" t="str">
        <f t="shared" ca="1" si="22"/>
        <v>CARRO MÉDIO</v>
      </c>
      <c r="E156" s="21" t="str">
        <f t="shared" ca="1" si="23"/>
        <v>CHFD-1556</v>
      </c>
      <c r="F156" s="19" t="str">
        <f t="shared" ca="1" si="24"/>
        <v>11:25</v>
      </c>
      <c r="G156" s="19" t="str">
        <f t="shared" ca="1" si="25"/>
        <v>12:34</v>
      </c>
      <c r="H156" s="19">
        <f t="shared" ca="1" si="26"/>
        <v>4.7916666666666718E-2</v>
      </c>
      <c r="I156" s="21" t="str">
        <f t="shared" ca="1" si="27"/>
        <v>Dinheiro</v>
      </c>
      <c r="J156" s="16">
        <f t="shared" ca="1" si="28"/>
        <v>17.250000000000018</v>
      </c>
      <c r="K156" s="21" t="str">
        <f t="shared" ca="1" si="29"/>
        <v>A3</v>
      </c>
      <c r="L156" s="21" t="s">
        <v>18</v>
      </c>
    </row>
    <row r="157" spans="2:12" x14ac:dyDescent="0.3">
      <c r="B157" s="21">
        <f t="shared" si="20"/>
        <v>150</v>
      </c>
      <c r="C157" s="11">
        <f t="shared" ca="1" si="21"/>
        <v>44442</v>
      </c>
      <c r="D157" s="21" t="str">
        <f t="shared" ca="1" si="22"/>
        <v>CARRO GRANDE</v>
      </c>
      <c r="E157" s="21" t="str">
        <f t="shared" ca="1" si="23"/>
        <v>ZDQF-2819</v>
      </c>
      <c r="F157" s="19" t="str">
        <f t="shared" ca="1" si="24"/>
        <v>11:23</v>
      </c>
      <c r="G157" s="19" t="str">
        <f t="shared" ca="1" si="25"/>
        <v>12:21</v>
      </c>
      <c r="H157" s="19">
        <f t="shared" ca="1" si="26"/>
        <v>4.0277777777777746E-2</v>
      </c>
      <c r="I157" s="21" t="str">
        <f t="shared" ca="1" si="27"/>
        <v>Cartão</v>
      </c>
      <c r="J157" s="16">
        <f t="shared" ca="1" si="28"/>
        <v>19.333333333333318</v>
      </c>
      <c r="K157" s="21" t="str">
        <f t="shared" ca="1" si="29"/>
        <v>A2</v>
      </c>
      <c r="L157" s="21" t="s">
        <v>18</v>
      </c>
    </row>
    <row r="158" spans="2:12" x14ac:dyDescent="0.3">
      <c r="B158" s="21">
        <f t="shared" si="20"/>
        <v>151</v>
      </c>
      <c r="C158" s="11">
        <f t="shared" ca="1" si="21"/>
        <v>44467</v>
      </c>
      <c r="D158" s="21" t="str">
        <f t="shared" ca="1" si="22"/>
        <v>CARRO MÉDIO</v>
      </c>
      <c r="E158" s="21" t="str">
        <f t="shared" ca="1" si="23"/>
        <v>QTCZ-8608</v>
      </c>
      <c r="F158" s="19" t="str">
        <f t="shared" ca="1" si="24"/>
        <v>07:43</v>
      </c>
      <c r="G158" s="19" t="str">
        <f t="shared" ca="1" si="25"/>
        <v>12:52</v>
      </c>
      <c r="H158" s="19">
        <f t="shared" ca="1" si="26"/>
        <v>0.21458333333333329</v>
      </c>
      <c r="I158" s="21" t="str">
        <f t="shared" ca="1" si="27"/>
        <v>Cartão</v>
      </c>
      <c r="J158" s="16">
        <f t="shared" ca="1" si="28"/>
        <v>77.249999999999972</v>
      </c>
      <c r="K158" s="21" t="str">
        <f t="shared" ca="1" si="29"/>
        <v>B3</v>
      </c>
      <c r="L158" s="21" t="s">
        <v>18</v>
      </c>
    </row>
    <row r="159" spans="2:12" x14ac:dyDescent="0.3">
      <c r="B159" s="21">
        <f t="shared" si="20"/>
        <v>152</v>
      </c>
      <c r="C159" s="11">
        <f t="shared" ca="1" si="21"/>
        <v>44358</v>
      </c>
      <c r="D159" s="21" t="str">
        <f t="shared" ca="1" si="22"/>
        <v>MOTO</v>
      </c>
      <c r="E159" s="21" t="str">
        <f t="shared" ca="1" si="23"/>
        <v>GFST-7553</v>
      </c>
      <c r="F159" s="19" t="str">
        <f t="shared" ca="1" si="24"/>
        <v>08:45</v>
      </c>
      <c r="G159" s="19" t="str">
        <f t="shared" ca="1" si="25"/>
        <v>14:37</v>
      </c>
      <c r="H159" s="19">
        <f t="shared" ca="1" si="26"/>
        <v>0.24444444444444452</v>
      </c>
      <c r="I159" s="21" t="str">
        <f t="shared" ca="1" si="27"/>
        <v>Dinheiro</v>
      </c>
      <c r="J159" s="16">
        <f t="shared" ca="1" si="28"/>
        <v>52.800000000000018</v>
      </c>
      <c r="K159" s="21" t="str">
        <f t="shared" ca="1" si="29"/>
        <v>B1</v>
      </c>
      <c r="L159" s="21" t="s">
        <v>18</v>
      </c>
    </row>
    <row r="160" spans="2:12" x14ac:dyDescent="0.3">
      <c r="B160" s="21">
        <f t="shared" si="20"/>
        <v>153</v>
      </c>
      <c r="C160" s="11">
        <f t="shared" ca="1" si="21"/>
        <v>44391</v>
      </c>
      <c r="D160" s="21" t="str">
        <f t="shared" ca="1" si="22"/>
        <v>CARRO GRANDE</v>
      </c>
      <c r="E160" s="21" t="str">
        <f t="shared" ca="1" si="23"/>
        <v>FSRT-4796</v>
      </c>
      <c r="F160" s="19" t="str">
        <f t="shared" ca="1" si="24"/>
        <v>08:47</v>
      </c>
      <c r="G160" s="19" t="str">
        <f t="shared" ca="1" si="25"/>
        <v>12:16</v>
      </c>
      <c r="H160" s="19">
        <f t="shared" ca="1" si="26"/>
        <v>0.14513888888888898</v>
      </c>
      <c r="I160" s="21" t="str">
        <f t="shared" ca="1" si="27"/>
        <v>Dinheiro</v>
      </c>
      <c r="J160" s="16">
        <f t="shared" ca="1" si="28"/>
        <v>69.666666666666714</v>
      </c>
      <c r="K160" s="21" t="str">
        <f t="shared" ca="1" si="29"/>
        <v>C3</v>
      </c>
      <c r="L160" s="21" t="s">
        <v>18</v>
      </c>
    </row>
    <row r="161" spans="2:12" x14ac:dyDescent="0.3">
      <c r="B161" s="21">
        <f t="shared" si="20"/>
        <v>154</v>
      </c>
      <c r="C161" s="11">
        <f t="shared" ca="1" si="21"/>
        <v>44407</v>
      </c>
      <c r="D161" s="21" t="str">
        <f t="shared" ca="1" si="22"/>
        <v>CARRO GRANDE</v>
      </c>
      <c r="E161" s="21" t="str">
        <f t="shared" ca="1" si="23"/>
        <v>WAHR-7891</v>
      </c>
      <c r="F161" s="19" t="str">
        <f t="shared" ca="1" si="24"/>
        <v>07:38</v>
      </c>
      <c r="G161" s="19" t="str">
        <f t="shared" ca="1" si="25"/>
        <v>15:31</v>
      </c>
      <c r="H161" s="19">
        <f t="shared" ca="1" si="26"/>
        <v>0.32847222222222228</v>
      </c>
      <c r="I161" s="21" t="str">
        <f t="shared" ca="1" si="27"/>
        <v>Cartão</v>
      </c>
      <c r="J161" s="16">
        <f t="shared" ca="1" si="28"/>
        <v>157.66666666666669</v>
      </c>
      <c r="K161" s="21" t="str">
        <f t="shared" ca="1" si="29"/>
        <v>A1</v>
      </c>
      <c r="L161" s="21" t="s">
        <v>18</v>
      </c>
    </row>
    <row r="162" spans="2:12" x14ac:dyDescent="0.3">
      <c r="B162" s="21">
        <f t="shared" si="20"/>
        <v>155</v>
      </c>
      <c r="C162" s="11">
        <f t="shared" ca="1" si="21"/>
        <v>44466</v>
      </c>
      <c r="D162" s="21" t="str">
        <f t="shared" ca="1" si="22"/>
        <v>CARRO PEQUENO</v>
      </c>
      <c r="E162" s="21" t="str">
        <f t="shared" ca="1" si="23"/>
        <v>MFUW-4947</v>
      </c>
      <c r="F162" s="19" t="str">
        <f t="shared" ca="1" si="24"/>
        <v>09:02</v>
      </c>
      <c r="G162" s="19" t="str">
        <f t="shared" ca="1" si="25"/>
        <v>15:51</v>
      </c>
      <c r="H162" s="19">
        <f t="shared" ca="1" si="26"/>
        <v>0.28402777777777777</v>
      </c>
      <c r="I162" s="21" t="str">
        <f t="shared" ca="1" si="27"/>
        <v>Dinheiro</v>
      </c>
      <c r="J162" s="16">
        <f t="shared" ca="1" si="28"/>
        <v>81.8</v>
      </c>
      <c r="K162" s="21" t="str">
        <f t="shared" ca="1" si="29"/>
        <v>B2</v>
      </c>
      <c r="L162" s="21" t="s">
        <v>18</v>
      </c>
    </row>
    <row r="163" spans="2:12" x14ac:dyDescent="0.3">
      <c r="B163" s="21">
        <f t="shared" si="20"/>
        <v>156</v>
      </c>
      <c r="C163" s="11">
        <f t="shared" ca="1" si="21"/>
        <v>44428</v>
      </c>
      <c r="D163" s="21" t="str">
        <f t="shared" ca="1" si="22"/>
        <v>CARRO PEQUENO</v>
      </c>
      <c r="E163" s="21" t="str">
        <f t="shared" ca="1" si="23"/>
        <v>LUVM-9199</v>
      </c>
      <c r="F163" s="19" t="str">
        <f t="shared" ca="1" si="24"/>
        <v>10:06</v>
      </c>
      <c r="G163" s="19" t="str">
        <f t="shared" ca="1" si="25"/>
        <v>13:30</v>
      </c>
      <c r="H163" s="19">
        <f t="shared" ca="1" si="26"/>
        <v>0.14166666666666666</v>
      </c>
      <c r="I163" s="21" t="str">
        <f t="shared" ca="1" si="27"/>
        <v>Cartão</v>
      </c>
      <c r="J163" s="16">
        <f t="shared" ca="1" si="28"/>
        <v>40.799999999999997</v>
      </c>
      <c r="K163" s="21" t="str">
        <f t="shared" ca="1" si="29"/>
        <v>B3</v>
      </c>
      <c r="L163" s="21" t="s">
        <v>18</v>
      </c>
    </row>
    <row r="164" spans="2:12" x14ac:dyDescent="0.3">
      <c r="B164" s="21">
        <f t="shared" si="20"/>
        <v>157</v>
      </c>
      <c r="C164" s="11">
        <f t="shared" ca="1" si="21"/>
        <v>44433</v>
      </c>
      <c r="D164" s="21" t="str">
        <f t="shared" ca="1" si="22"/>
        <v>CARRO GRANDE</v>
      </c>
      <c r="E164" s="21" t="str">
        <f t="shared" ca="1" si="23"/>
        <v>BFJB-4289</v>
      </c>
      <c r="F164" s="19" t="str">
        <f t="shared" ca="1" si="24"/>
        <v>09:44</v>
      </c>
      <c r="G164" s="19" t="str">
        <f t="shared" ca="1" si="25"/>
        <v>13:03</v>
      </c>
      <c r="H164" s="19">
        <f t="shared" ca="1" si="26"/>
        <v>0.13819444444444456</v>
      </c>
      <c r="I164" s="21" t="str">
        <f t="shared" ca="1" si="27"/>
        <v>Cartão</v>
      </c>
      <c r="J164" s="16">
        <f t="shared" ca="1" si="28"/>
        <v>66.333333333333385</v>
      </c>
      <c r="K164" s="21" t="str">
        <f t="shared" ca="1" si="29"/>
        <v>A4</v>
      </c>
      <c r="L164" s="21" t="s">
        <v>18</v>
      </c>
    </row>
    <row r="165" spans="2:12" x14ac:dyDescent="0.3">
      <c r="B165" s="21">
        <f t="shared" si="20"/>
        <v>158</v>
      </c>
      <c r="C165" s="11">
        <f t="shared" ca="1" si="21"/>
        <v>44457</v>
      </c>
      <c r="D165" s="21" t="str">
        <f t="shared" ca="1" si="22"/>
        <v>CARRO PEQUENO</v>
      </c>
      <c r="E165" s="21" t="str">
        <f t="shared" ca="1" si="23"/>
        <v>MYON-1749</v>
      </c>
      <c r="F165" s="19" t="str">
        <f t="shared" ca="1" si="24"/>
        <v>09:30</v>
      </c>
      <c r="G165" s="19" t="str">
        <f t="shared" ca="1" si="25"/>
        <v>14:37</v>
      </c>
      <c r="H165" s="19">
        <f t="shared" ca="1" si="26"/>
        <v>0.21319444444444452</v>
      </c>
      <c r="I165" s="21" t="str">
        <f t="shared" ca="1" si="27"/>
        <v>Cartão</v>
      </c>
      <c r="J165" s="16">
        <f t="shared" ca="1" si="28"/>
        <v>61.400000000000027</v>
      </c>
      <c r="K165" s="21" t="str">
        <f t="shared" ca="1" si="29"/>
        <v>A1</v>
      </c>
      <c r="L165" s="21" t="s">
        <v>18</v>
      </c>
    </row>
    <row r="166" spans="2:12" x14ac:dyDescent="0.3">
      <c r="B166" s="21">
        <f t="shared" si="20"/>
        <v>159</v>
      </c>
      <c r="C166" s="11">
        <f t="shared" ca="1" si="21"/>
        <v>44397</v>
      </c>
      <c r="D166" s="21" t="str">
        <f t="shared" ca="1" si="22"/>
        <v>CARRO GRANDE</v>
      </c>
      <c r="E166" s="21" t="str">
        <f t="shared" ca="1" si="23"/>
        <v>SEKJ-8178</v>
      </c>
      <c r="F166" s="19" t="str">
        <f t="shared" ca="1" si="24"/>
        <v>07:26</v>
      </c>
      <c r="G166" s="19" t="str">
        <f t="shared" ca="1" si="25"/>
        <v>15:28</v>
      </c>
      <c r="H166" s="19">
        <f t="shared" ca="1" si="26"/>
        <v>0.33472222222222225</v>
      </c>
      <c r="I166" s="21" t="str">
        <f t="shared" ca="1" si="27"/>
        <v>Dinheiro</v>
      </c>
      <c r="J166" s="16">
        <f t="shared" ca="1" si="28"/>
        <v>160.66666666666669</v>
      </c>
      <c r="K166" s="21" t="str">
        <f t="shared" ca="1" si="29"/>
        <v>C1</v>
      </c>
      <c r="L166" s="21" t="s">
        <v>18</v>
      </c>
    </row>
    <row r="167" spans="2:12" x14ac:dyDescent="0.3">
      <c r="B167" s="21">
        <f t="shared" si="20"/>
        <v>160</v>
      </c>
      <c r="C167" s="11">
        <f t="shared" ca="1" si="21"/>
        <v>44451</v>
      </c>
      <c r="D167" s="21" t="str">
        <f t="shared" ca="1" si="22"/>
        <v>CARRO PEQUENO</v>
      </c>
      <c r="E167" s="21" t="str">
        <f t="shared" ca="1" si="23"/>
        <v>JOSI-5681</v>
      </c>
      <c r="F167" s="19" t="str">
        <f t="shared" ca="1" si="24"/>
        <v>11:21</v>
      </c>
      <c r="G167" s="19" t="str">
        <f t="shared" ca="1" si="25"/>
        <v>12:11</v>
      </c>
      <c r="H167" s="19">
        <f t="shared" ca="1" si="26"/>
        <v>3.472222222222221E-2</v>
      </c>
      <c r="I167" s="21" t="str">
        <f t="shared" ca="1" si="27"/>
        <v>Cartão</v>
      </c>
      <c r="J167" s="16">
        <f t="shared" ca="1" si="28"/>
        <v>9.9999999999999964</v>
      </c>
      <c r="K167" s="21" t="str">
        <f t="shared" ca="1" si="29"/>
        <v>B4</v>
      </c>
      <c r="L167" s="21" t="s">
        <v>18</v>
      </c>
    </row>
    <row r="168" spans="2:12" x14ac:dyDescent="0.3">
      <c r="B168" s="21">
        <f t="shared" si="20"/>
        <v>161</v>
      </c>
      <c r="C168" s="11">
        <f t="shared" ca="1" si="21"/>
        <v>44428</v>
      </c>
      <c r="D168" s="21" t="str">
        <f t="shared" ca="1" si="22"/>
        <v>CARRO PEQUENO</v>
      </c>
      <c r="E168" s="21" t="str">
        <f t="shared" ca="1" si="23"/>
        <v>OOSJ-6467</v>
      </c>
      <c r="F168" s="19" t="str">
        <f t="shared" ca="1" si="24"/>
        <v>07:11</v>
      </c>
      <c r="G168" s="19" t="str">
        <f t="shared" ca="1" si="25"/>
        <v>15:16</v>
      </c>
      <c r="H168" s="19">
        <f t="shared" ca="1" si="26"/>
        <v>0.33680555555555564</v>
      </c>
      <c r="I168" s="21" t="str">
        <f t="shared" ca="1" si="27"/>
        <v>Dinheiro</v>
      </c>
      <c r="J168" s="16">
        <f t="shared" ca="1" si="28"/>
        <v>97.000000000000028</v>
      </c>
      <c r="K168" s="21" t="str">
        <f t="shared" ca="1" si="29"/>
        <v>B1</v>
      </c>
      <c r="L168" s="21" t="s">
        <v>18</v>
      </c>
    </row>
    <row r="169" spans="2:12" x14ac:dyDescent="0.3">
      <c r="B169" s="21">
        <f t="shared" si="20"/>
        <v>162</v>
      </c>
      <c r="C169" s="11">
        <f t="shared" ca="1" si="21"/>
        <v>44425</v>
      </c>
      <c r="D169" s="21" t="str">
        <f t="shared" ca="1" si="22"/>
        <v>CARRO PEQUENO</v>
      </c>
      <c r="E169" s="21" t="str">
        <f t="shared" ca="1" si="23"/>
        <v>WFTD-2775</v>
      </c>
      <c r="F169" s="19" t="str">
        <f t="shared" ca="1" si="24"/>
        <v>08:24</v>
      </c>
      <c r="G169" s="19" t="str">
        <f t="shared" ca="1" si="25"/>
        <v>13:38</v>
      </c>
      <c r="H169" s="19">
        <f t="shared" ca="1" si="26"/>
        <v>0.2180555555555555</v>
      </c>
      <c r="I169" s="21" t="str">
        <f t="shared" ca="1" si="27"/>
        <v>Cartão</v>
      </c>
      <c r="J169" s="16">
        <f t="shared" ca="1" si="28"/>
        <v>62.79999999999999</v>
      </c>
      <c r="K169" s="21" t="str">
        <f t="shared" ca="1" si="29"/>
        <v>A2</v>
      </c>
      <c r="L169" s="21" t="s">
        <v>18</v>
      </c>
    </row>
    <row r="170" spans="2:12" x14ac:dyDescent="0.3">
      <c r="B170" s="21">
        <f t="shared" si="20"/>
        <v>163</v>
      </c>
      <c r="C170" s="11">
        <f t="shared" ca="1" si="21"/>
        <v>44413</v>
      </c>
      <c r="D170" s="21" t="str">
        <f t="shared" ca="1" si="22"/>
        <v>CARRO GRANDE</v>
      </c>
      <c r="E170" s="21" t="str">
        <f t="shared" ca="1" si="23"/>
        <v>AHRV-5277</v>
      </c>
      <c r="F170" s="19" t="str">
        <f t="shared" ca="1" si="24"/>
        <v>10:25</v>
      </c>
      <c r="G170" s="19" t="str">
        <f t="shared" ca="1" si="25"/>
        <v>15:54</v>
      </c>
      <c r="H170" s="19">
        <f t="shared" ca="1" si="26"/>
        <v>0.22847222222222224</v>
      </c>
      <c r="I170" s="21" t="str">
        <f t="shared" ca="1" si="27"/>
        <v>Cartão</v>
      </c>
      <c r="J170" s="16">
        <f t="shared" ca="1" si="28"/>
        <v>109.66666666666669</v>
      </c>
      <c r="K170" s="21" t="str">
        <f t="shared" ca="1" si="29"/>
        <v>B5</v>
      </c>
      <c r="L170" s="21" t="s">
        <v>18</v>
      </c>
    </row>
    <row r="171" spans="2:12" x14ac:dyDescent="0.3">
      <c r="B171" s="21">
        <f t="shared" si="20"/>
        <v>164</v>
      </c>
      <c r="C171" s="11">
        <f t="shared" ca="1" si="21"/>
        <v>44360</v>
      </c>
      <c r="D171" s="21" t="str">
        <f t="shared" ca="1" si="22"/>
        <v>MOTO</v>
      </c>
      <c r="E171" s="21" t="str">
        <f t="shared" ca="1" si="23"/>
        <v>SYOW-7994</v>
      </c>
      <c r="F171" s="19" t="str">
        <f t="shared" ca="1" si="24"/>
        <v>08:26</v>
      </c>
      <c r="G171" s="19" t="str">
        <f t="shared" ca="1" si="25"/>
        <v>13:07</v>
      </c>
      <c r="H171" s="19">
        <f t="shared" ca="1" si="26"/>
        <v>0.19513888888888892</v>
      </c>
      <c r="I171" s="21" t="str">
        <f t="shared" ca="1" si="27"/>
        <v>Cartão</v>
      </c>
      <c r="J171" s="16">
        <f t="shared" ca="1" si="28"/>
        <v>42.150000000000006</v>
      </c>
      <c r="K171" s="21" t="str">
        <f t="shared" ca="1" si="29"/>
        <v>C4</v>
      </c>
      <c r="L171" s="21" t="s">
        <v>18</v>
      </c>
    </row>
    <row r="172" spans="2:12" x14ac:dyDescent="0.3">
      <c r="B172" s="21">
        <f t="shared" si="20"/>
        <v>165</v>
      </c>
      <c r="C172" s="11">
        <f t="shared" ca="1" si="21"/>
        <v>44352</v>
      </c>
      <c r="D172" s="21" t="str">
        <f t="shared" ca="1" si="22"/>
        <v>MOTO</v>
      </c>
      <c r="E172" s="21" t="str">
        <f t="shared" ca="1" si="23"/>
        <v>FNRE-8783</v>
      </c>
      <c r="F172" s="19" t="str">
        <f t="shared" ca="1" si="24"/>
        <v>07:29</v>
      </c>
      <c r="G172" s="19" t="str">
        <f t="shared" ca="1" si="25"/>
        <v>14:42</v>
      </c>
      <c r="H172" s="19">
        <f t="shared" ca="1" si="26"/>
        <v>0.30069444444444438</v>
      </c>
      <c r="I172" s="21" t="str">
        <f t="shared" ca="1" si="27"/>
        <v>Cartão</v>
      </c>
      <c r="J172" s="16">
        <f t="shared" ca="1" si="28"/>
        <v>64.949999999999989</v>
      </c>
      <c r="K172" s="21" t="str">
        <f t="shared" ca="1" si="29"/>
        <v>C4</v>
      </c>
      <c r="L172" s="21" t="s">
        <v>18</v>
      </c>
    </row>
    <row r="173" spans="2:12" x14ac:dyDescent="0.3">
      <c r="B173" s="21">
        <f t="shared" si="20"/>
        <v>166</v>
      </c>
      <c r="C173" s="11">
        <f t="shared" ca="1" si="21"/>
        <v>44423</v>
      </c>
      <c r="D173" s="21" t="str">
        <f t="shared" ca="1" si="22"/>
        <v>MOTO</v>
      </c>
      <c r="E173" s="21" t="str">
        <f t="shared" ca="1" si="23"/>
        <v>FHPW-1950</v>
      </c>
      <c r="F173" s="19" t="str">
        <f t="shared" ca="1" si="24"/>
        <v>09:30</v>
      </c>
      <c r="G173" s="19" t="str">
        <f t="shared" ca="1" si="25"/>
        <v>13:19</v>
      </c>
      <c r="H173" s="19">
        <f t="shared" ca="1" si="26"/>
        <v>0.15902777777777782</v>
      </c>
      <c r="I173" s="21" t="str">
        <f t="shared" ca="1" si="27"/>
        <v>Dinheiro</v>
      </c>
      <c r="J173" s="16">
        <f t="shared" ca="1" si="28"/>
        <v>34.350000000000009</v>
      </c>
      <c r="K173" s="21" t="str">
        <f t="shared" ca="1" si="29"/>
        <v>C4</v>
      </c>
      <c r="L173" s="21" t="s">
        <v>18</v>
      </c>
    </row>
    <row r="174" spans="2:12" x14ac:dyDescent="0.3">
      <c r="B174" s="21">
        <f t="shared" si="20"/>
        <v>167</v>
      </c>
      <c r="C174" s="11">
        <f t="shared" ca="1" si="21"/>
        <v>44427</v>
      </c>
      <c r="D174" s="21" t="str">
        <f t="shared" ca="1" si="22"/>
        <v>CARRO PEQUENO</v>
      </c>
      <c r="E174" s="21" t="str">
        <f t="shared" ca="1" si="23"/>
        <v>NNNE-1748</v>
      </c>
      <c r="F174" s="19" t="str">
        <f t="shared" ca="1" si="24"/>
        <v>09:46</v>
      </c>
      <c r="G174" s="19" t="str">
        <f t="shared" ca="1" si="25"/>
        <v>15:06</v>
      </c>
      <c r="H174" s="19">
        <f t="shared" ca="1" si="26"/>
        <v>0.22222222222222215</v>
      </c>
      <c r="I174" s="21" t="str">
        <f t="shared" ca="1" si="27"/>
        <v>Cartão</v>
      </c>
      <c r="J174" s="16">
        <f t="shared" ca="1" si="28"/>
        <v>63.999999999999986</v>
      </c>
      <c r="K174" s="21" t="str">
        <f t="shared" ca="1" si="29"/>
        <v>B1</v>
      </c>
      <c r="L174" s="21" t="s">
        <v>18</v>
      </c>
    </row>
    <row r="175" spans="2:12" x14ac:dyDescent="0.3">
      <c r="B175" s="21">
        <f t="shared" si="20"/>
        <v>168</v>
      </c>
      <c r="C175" s="11">
        <f t="shared" ca="1" si="21"/>
        <v>44450</v>
      </c>
      <c r="D175" s="21" t="str">
        <f t="shared" ca="1" si="22"/>
        <v>CARRO GRANDE</v>
      </c>
      <c r="E175" s="21" t="str">
        <f t="shared" ca="1" si="23"/>
        <v>RHWU-9165</v>
      </c>
      <c r="F175" s="19" t="str">
        <f t="shared" ca="1" si="24"/>
        <v>07:15</v>
      </c>
      <c r="G175" s="19" t="str">
        <f t="shared" ca="1" si="25"/>
        <v>12:14</v>
      </c>
      <c r="H175" s="19">
        <f t="shared" ca="1" si="26"/>
        <v>0.20763888888888887</v>
      </c>
      <c r="I175" s="21" t="str">
        <f t="shared" ca="1" si="27"/>
        <v>Dinheiro</v>
      </c>
      <c r="J175" s="16">
        <f t="shared" ca="1" si="28"/>
        <v>99.666666666666657</v>
      </c>
      <c r="K175" s="21" t="str">
        <f t="shared" ca="1" si="29"/>
        <v>C4</v>
      </c>
      <c r="L175" s="21" t="s">
        <v>18</v>
      </c>
    </row>
    <row r="176" spans="2:12" x14ac:dyDescent="0.3">
      <c r="B176" s="21">
        <f t="shared" si="20"/>
        <v>169</v>
      </c>
      <c r="C176" s="11">
        <f t="shared" ca="1" si="21"/>
        <v>44348</v>
      </c>
      <c r="D176" s="21" t="str">
        <f t="shared" ca="1" si="22"/>
        <v>MOTO</v>
      </c>
      <c r="E176" s="21" t="str">
        <f t="shared" ca="1" si="23"/>
        <v>ZHQZ-9885</v>
      </c>
      <c r="F176" s="19" t="str">
        <f t="shared" ca="1" si="24"/>
        <v>11:32</v>
      </c>
      <c r="G176" s="19" t="str">
        <f t="shared" ca="1" si="25"/>
        <v>14:13</v>
      </c>
      <c r="H176" s="19">
        <f t="shared" ca="1" si="26"/>
        <v>0.11180555555555555</v>
      </c>
      <c r="I176" s="21" t="str">
        <f t="shared" ca="1" si="27"/>
        <v>Dinheiro</v>
      </c>
      <c r="J176" s="16">
        <f t="shared" ca="1" si="28"/>
        <v>24.15</v>
      </c>
      <c r="K176" s="21" t="str">
        <f t="shared" ca="1" si="29"/>
        <v>B5</v>
      </c>
      <c r="L176" s="21" t="s">
        <v>18</v>
      </c>
    </row>
    <row r="177" spans="2:12" x14ac:dyDescent="0.3">
      <c r="B177" s="21">
        <f t="shared" si="20"/>
        <v>170</v>
      </c>
      <c r="C177" s="11">
        <f t="shared" ca="1" si="21"/>
        <v>44460</v>
      </c>
      <c r="D177" s="21" t="str">
        <f t="shared" ca="1" si="22"/>
        <v>CARRO PEQUENO</v>
      </c>
      <c r="E177" s="21" t="str">
        <f t="shared" ca="1" si="23"/>
        <v>XGKQ-2454</v>
      </c>
      <c r="F177" s="19" t="str">
        <f t="shared" ca="1" si="24"/>
        <v>11:44</v>
      </c>
      <c r="G177" s="19" t="str">
        <f t="shared" ca="1" si="25"/>
        <v>13:33</v>
      </c>
      <c r="H177" s="19">
        <f t="shared" ca="1" si="26"/>
        <v>7.5694444444444453E-2</v>
      </c>
      <c r="I177" s="21" t="str">
        <f t="shared" ca="1" si="27"/>
        <v>Dinheiro</v>
      </c>
      <c r="J177" s="16">
        <f t="shared" ca="1" si="28"/>
        <v>21.800000000000004</v>
      </c>
      <c r="K177" s="21" t="str">
        <f t="shared" ca="1" si="29"/>
        <v>A4</v>
      </c>
      <c r="L177" s="21" t="s">
        <v>18</v>
      </c>
    </row>
    <row r="178" spans="2:12" x14ac:dyDescent="0.3">
      <c r="B178" s="21">
        <f t="shared" si="20"/>
        <v>171</v>
      </c>
      <c r="C178" s="11">
        <f t="shared" ca="1" si="21"/>
        <v>44384</v>
      </c>
      <c r="D178" s="21" t="str">
        <f t="shared" ca="1" si="22"/>
        <v>CARRO PEQUENO</v>
      </c>
      <c r="E178" s="21" t="str">
        <f t="shared" ca="1" si="23"/>
        <v>CHKY-4600</v>
      </c>
      <c r="F178" s="19" t="str">
        <f t="shared" ca="1" si="24"/>
        <v>09:07</v>
      </c>
      <c r="G178" s="19" t="str">
        <f t="shared" ca="1" si="25"/>
        <v>13:10</v>
      </c>
      <c r="H178" s="19">
        <f t="shared" ca="1" si="26"/>
        <v>0.1687499999999999</v>
      </c>
      <c r="I178" s="21" t="str">
        <f t="shared" ca="1" si="27"/>
        <v>Cartão</v>
      </c>
      <c r="J178" s="16">
        <f t="shared" ca="1" si="28"/>
        <v>48.599999999999966</v>
      </c>
      <c r="K178" s="21" t="str">
        <f t="shared" ca="1" si="29"/>
        <v>A4</v>
      </c>
      <c r="L178" s="21" t="s">
        <v>18</v>
      </c>
    </row>
    <row r="179" spans="2:12" x14ac:dyDescent="0.3">
      <c r="B179" s="21">
        <f t="shared" si="20"/>
        <v>172</v>
      </c>
      <c r="C179" s="11">
        <f t="shared" ca="1" si="21"/>
        <v>44410</v>
      </c>
      <c r="D179" s="21" t="str">
        <f t="shared" ca="1" si="22"/>
        <v>CARRO PEQUENO</v>
      </c>
      <c r="E179" s="21" t="str">
        <f t="shared" ca="1" si="23"/>
        <v>OPRC-9263</v>
      </c>
      <c r="F179" s="19" t="str">
        <f t="shared" ca="1" si="24"/>
        <v>09:42</v>
      </c>
      <c r="G179" s="19" t="str">
        <f t="shared" ca="1" si="25"/>
        <v>13:40</v>
      </c>
      <c r="H179" s="19">
        <f t="shared" ca="1" si="26"/>
        <v>0.1652777777777778</v>
      </c>
      <c r="I179" s="21" t="str">
        <f t="shared" ca="1" si="27"/>
        <v>Cartão</v>
      </c>
      <c r="J179" s="16">
        <f t="shared" ca="1" si="28"/>
        <v>47.600000000000009</v>
      </c>
      <c r="K179" s="21" t="str">
        <f t="shared" ca="1" si="29"/>
        <v>A5</v>
      </c>
      <c r="L179" s="21" t="s">
        <v>18</v>
      </c>
    </row>
    <row r="180" spans="2:12" x14ac:dyDescent="0.3">
      <c r="B180" s="21">
        <f t="shared" si="20"/>
        <v>173</v>
      </c>
      <c r="C180" s="11">
        <f t="shared" ca="1" si="21"/>
        <v>44363</v>
      </c>
      <c r="D180" s="21" t="str">
        <f t="shared" ca="1" si="22"/>
        <v>MOTO</v>
      </c>
      <c r="E180" s="21" t="str">
        <f t="shared" ca="1" si="23"/>
        <v>JFHG-8986</v>
      </c>
      <c r="F180" s="19" t="str">
        <f t="shared" ca="1" si="24"/>
        <v>10:25</v>
      </c>
      <c r="G180" s="19" t="str">
        <f t="shared" ca="1" si="25"/>
        <v>14:46</v>
      </c>
      <c r="H180" s="19">
        <f t="shared" ca="1" si="26"/>
        <v>0.18125000000000008</v>
      </c>
      <c r="I180" s="21" t="str">
        <f t="shared" ca="1" si="27"/>
        <v>Cartão</v>
      </c>
      <c r="J180" s="16">
        <f t="shared" ca="1" si="28"/>
        <v>39.150000000000013</v>
      </c>
      <c r="K180" s="21" t="str">
        <f t="shared" ca="1" si="29"/>
        <v>B5</v>
      </c>
      <c r="L180" s="21" t="s">
        <v>18</v>
      </c>
    </row>
    <row r="181" spans="2:12" x14ac:dyDescent="0.3">
      <c r="B181" s="21">
        <f t="shared" si="20"/>
        <v>174</v>
      </c>
      <c r="C181" s="11">
        <f t="shared" ca="1" si="21"/>
        <v>44404</v>
      </c>
      <c r="D181" s="21" t="str">
        <f t="shared" ca="1" si="22"/>
        <v>MOTO</v>
      </c>
      <c r="E181" s="21" t="str">
        <f t="shared" ca="1" si="23"/>
        <v>DIXX-8817</v>
      </c>
      <c r="F181" s="19" t="str">
        <f t="shared" ca="1" si="24"/>
        <v>07:58</v>
      </c>
      <c r="G181" s="19" t="str">
        <f t="shared" ca="1" si="25"/>
        <v>14:45</v>
      </c>
      <c r="H181" s="19">
        <f t="shared" ca="1" si="26"/>
        <v>0.28263888888888894</v>
      </c>
      <c r="I181" s="21" t="str">
        <f t="shared" ca="1" si="27"/>
        <v>Dinheiro</v>
      </c>
      <c r="J181" s="16">
        <f t="shared" ca="1" si="28"/>
        <v>61.050000000000011</v>
      </c>
      <c r="K181" s="21" t="str">
        <f t="shared" ca="1" si="29"/>
        <v>A5</v>
      </c>
      <c r="L181" s="21" t="s">
        <v>18</v>
      </c>
    </row>
    <row r="182" spans="2:12" x14ac:dyDescent="0.3">
      <c r="B182" s="21">
        <f t="shared" si="20"/>
        <v>175</v>
      </c>
      <c r="C182" s="11">
        <f t="shared" ca="1" si="21"/>
        <v>44463</v>
      </c>
      <c r="D182" s="21" t="str">
        <f t="shared" ca="1" si="22"/>
        <v>MOTO</v>
      </c>
      <c r="E182" s="21" t="str">
        <f t="shared" ca="1" si="23"/>
        <v>UCQH-6119</v>
      </c>
      <c r="F182" s="19" t="str">
        <f t="shared" ca="1" si="24"/>
        <v>08:07</v>
      </c>
      <c r="G182" s="19" t="str">
        <f t="shared" ca="1" si="25"/>
        <v>15:42</v>
      </c>
      <c r="H182" s="19">
        <f t="shared" ca="1" si="26"/>
        <v>0.31597222222222221</v>
      </c>
      <c r="I182" s="21" t="str">
        <f t="shared" ca="1" si="27"/>
        <v>Cartão</v>
      </c>
      <c r="J182" s="16">
        <f t="shared" ca="1" si="28"/>
        <v>68.25</v>
      </c>
      <c r="K182" s="21" t="str">
        <f t="shared" ca="1" si="29"/>
        <v>A3</v>
      </c>
      <c r="L182" s="21" t="s">
        <v>18</v>
      </c>
    </row>
    <row r="183" spans="2:12" x14ac:dyDescent="0.3">
      <c r="B183" s="21">
        <f t="shared" si="20"/>
        <v>176</v>
      </c>
      <c r="C183" s="11">
        <f t="shared" ca="1" si="21"/>
        <v>44437</v>
      </c>
      <c r="D183" s="21" t="str">
        <f t="shared" ca="1" si="22"/>
        <v>CARRO GRANDE</v>
      </c>
      <c r="E183" s="21" t="str">
        <f t="shared" ca="1" si="23"/>
        <v>SICX-2384</v>
      </c>
      <c r="F183" s="19" t="str">
        <f t="shared" ca="1" si="24"/>
        <v>09:58</v>
      </c>
      <c r="G183" s="19" t="str">
        <f t="shared" ca="1" si="25"/>
        <v>13:10</v>
      </c>
      <c r="H183" s="19">
        <f t="shared" ca="1" si="26"/>
        <v>0.13333333333333325</v>
      </c>
      <c r="I183" s="21" t="str">
        <f t="shared" ca="1" si="27"/>
        <v>Dinheiro</v>
      </c>
      <c r="J183" s="16">
        <f t="shared" ca="1" si="28"/>
        <v>63.999999999999957</v>
      </c>
      <c r="K183" s="21" t="str">
        <f t="shared" ca="1" si="29"/>
        <v>B1</v>
      </c>
      <c r="L183" s="21" t="s">
        <v>18</v>
      </c>
    </row>
    <row r="184" spans="2:12" x14ac:dyDescent="0.3">
      <c r="B184" s="21">
        <f t="shared" si="20"/>
        <v>177</v>
      </c>
      <c r="C184" s="11">
        <f t="shared" ca="1" si="21"/>
        <v>44374</v>
      </c>
      <c r="D184" s="21" t="str">
        <f t="shared" ca="1" si="22"/>
        <v>MOTO</v>
      </c>
      <c r="E184" s="21" t="str">
        <f t="shared" ca="1" si="23"/>
        <v>PXHB-7632</v>
      </c>
      <c r="F184" s="19" t="str">
        <f t="shared" ca="1" si="24"/>
        <v>07:19</v>
      </c>
      <c r="G184" s="19" t="str">
        <f t="shared" ca="1" si="25"/>
        <v>12:46</v>
      </c>
      <c r="H184" s="19">
        <f t="shared" ca="1" si="26"/>
        <v>0.22708333333333336</v>
      </c>
      <c r="I184" s="21" t="str">
        <f t="shared" ca="1" si="27"/>
        <v>Cartão</v>
      </c>
      <c r="J184" s="16">
        <f t="shared" ca="1" si="28"/>
        <v>49.050000000000011</v>
      </c>
      <c r="K184" s="21" t="str">
        <f t="shared" ca="1" si="29"/>
        <v>B2</v>
      </c>
      <c r="L184" s="21" t="s">
        <v>18</v>
      </c>
    </row>
    <row r="185" spans="2:12" x14ac:dyDescent="0.3">
      <c r="B185" s="21">
        <f t="shared" si="20"/>
        <v>178</v>
      </c>
      <c r="C185" s="11">
        <f t="shared" ca="1" si="21"/>
        <v>44420</v>
      </c>
      <c r="D185" s="21" t="str">
        <f t="shared" ca="1" si="22"/>
        <v>MOTO</v>
      </c>
      <c r="E185" s="21" t="str">
        <f t="shared" ca="1" si="23"/>
        <v>EDFW-5013</v>
      </c>
      <c r="F185" s="19" t="str">
        <f t="shared" ca="1" si="24"/>
        <v>08:54</v>
      </c>
      <c r="G185" s="19" t="str">
        <f t="shared" ca="1" si="25"/>
        <v>13:20</v>
      </c>
      <c r="H185" s="19">
        <f t="shared" ca="1" si="26"/>
        <v>0.18472222222222223</v>
      </c>
      <c r="I185" s="21" t="str">
        <f t="shared" ca="1" si="27"/>
        <v>Cartão</v>
      </c>
      <c r="J185" s="16">
        <f t="shared" ca="1" si="28"/>
        <v>39.900000000000006</v>
      </c>
      <c r="K185" s="21" t="str">
        <f t="shared" ca="1" si="29"/>
        <v>C5</v>
      </c>
      <c r="L185" s="21" t="s">
        <v>18</v>
      </c>
    </row>
    <row r="186" spans="2:12" x14ac:dyDescent="0.3">
      <c r="B186" s="21">
        <f t="shared" si="20"/>
        <v>179</v>
      </c>
      <c r="C186" s="11">
        <f t="shared" ca="1" si="21"/>
        <v>44366</v>
      </c>
      <c r="D186" s="21" t="str">
        <f t="shared" ca="1" si="22"/>
        <v>CARRO GRANDE</v>
      </c>
      <c r="E186" s="21" t="str">
        <f t="shared" ca="1" si="23"/>
        <v>EACT-8559</v>
      </c>
      <c r="F186" s="19" t="str">
        <f t="shared" ca="1" si="24"/>
        <v>10:25</v>
      </c>
      <c r="G186" s="19" t="str">
        <f t="shared" ca="1" si="25"/>
        <v>14:51</v>
      </c>
      <c r="H186" s="19">
        <f t="shared" ca="1" si="26"/>
        <v>0.18472222222222229</v>
      </c>
      <c r="I186" s="21" t="str">
        <f t="shared" ca="1" si="27"/>
        <v>Cartão</v>
      </c>
      <c r="J186" s="16">
        <f t="shared" ca="1" si="28"/>
        <v>88.666666666666714</v>
      </c>
      <c r="K186" s="21" t="str">
        <f t="shared" ca="1" si="29"/>
        <v>B5</v>
      </c>
      <c r="L186" s="21" t="s">
        <v>18</v>
      </c>
    </row>
    <row r="187" spans="2:12" x14ac:dyDescent="0.3">
      <c r="B187" s="21">
        <f t="shared" si="20"/>
        <v>180</v>
      </c>
      <c r="C187" s="11">
        <f t="shared" ca="1" si="21"/>
        <v>44376</v>
      </c>
      <c r="D187" s="21" t="str">
        <f t="shared" ca="1" si="22"/>
        <v>CARRO GRANDE</v>
      </c>
      <c r="E187" s="21" t="str">
        <f t="shared" ca="1" si="23"/>
        <v>LJPJ-3898</v>
      </c>
      <c r="F187" s="19" t="str">
        <f t="shared" ca="1" si="24"/>
        <v>07:06</v>
      </c>
      <c r="G187" s="19" t="str">
        <f t="shared" ca="1" si="25"/>
        <v>15:15</v>
      </c>
      <c r="H187" s="19">
        <f t="shared" ca="1" si="26"/>
        <v>0.33958333333333329</v>
      </c>
      <c r="I187" s="21" t="str">
        <f t="shared" ca="1" si="27"/>
        <v>Cartão</v>
      </c>
      <c r="J187" s="16">
        <f t="shared" ca="1" si="28"/>
        <v>162.99999999999997</v>
      </c>
      <c r="K187" s="21" t="str">
        <f t="shared" ca="1" si="29"/>
        <v>B3</v>
      </c>
      <c r="L187" s="21" t="s">
        <v>18</v>
      </c>
    </row>
    <row r="188" spans="2:12" x14ac:dyDescent="0.3">
      <c r="B188" s="21">
        <f t="shared" si="20"/>
        <v>181</v>
      </c>
      <c r="C188" s="11">
        <f t="shared" ca="1" si="21"/>
        <v>44369</v>
      </c>
      <c r="D188" s="21" t="str">
        <f t="shared" ca="1" si="22"/>
        <v>MOTO</v>
      </c>
      <c r="E188" s="21" t="str">
        <f t="shared" ca="1" si="23"/>
        <v>VEFY-6410</v>
      </c>
      <c r="F188" s="19" t="str">
        <f t="shared" ca="1" si="24"/>
        <v>08:48</v>
      </c>
      <c r="G188" s="19" t="str">
        <f t="shared" ca="1" si="25"/>
        <v>12:58</v>
      </c>
      <c r="H188" s="19">
        <f t="shared" ca="1" si="26"/>
        <v>0.17361111111111105</v>
      </c>
      <c r="I188" s="21" t="str">
        <f t="shared" ca="1" si="27"/>
        <v>Dinheiro</v>
      </c>
      <c r="J188" s="16">
        <f t="shared" ca="1" si="28"/>
        <v>37.499999999999986</v>
      </c>
      <c r="K188" s="21" t="str">
        <f t="shared" ca="1" si="29"/>
        <v>B5</v>
      </c>
      <c r="L188" s="21" t="s">
        <v>18</v>
      </c>
    </row>
    <row r="189" spans="2:12" x14ac:dyDescent="0.3">
      <c r="B189" s="21">
        <f t="shared" si="20"/>
        <v>182</v>
      </c>
      <c r="C189" s="11">
        <f t="shared" ca="1" si="21"/>
        <v>44437</v>
      </c>
      <c r="D189" s="21" t="str">
        <f t="shared" ca="1" si="22"/>
        <v>CARRO MÉDIO</v>
      </c>
      <c r="E189" s="21" t="str">
        <f t="shared" ca="1" si="23"/>
        <v>GIMX-6054</v>
      </c>
      <c r="F189" s="19" t="str">
        <f t="shared" ca="1" si="24"/>
        <v>09:59</v>
      </c>
      <c r="G189" s="19" t="str">
        <f t="shared" ca="1" si="25"/>
        <v>13:35</v>
      </c>
      <c r="H189" s="19">
        <f t="shared" ca="1" si="26"/>
        <v>0.15000000000000002</v>
      </c>
      <c r="I189" s="21" t="str">
        <f t="shared" ca="1" si="27"/>
        <v>Dinheiro</v>
      </c>
      <c r="J189" s="16">
        <f t="shared" ca="1" si="28"/>
        <v>54.000000000000007</v>
      </c>
      <c r="K189" s="21" t="str">
        <f t="shared" ca="1" si="29"/>
        <v>A5</v>
      </c>
      <c r="L189" s="21" t="s">
        <v>18</v>
      </c>
    </row>
    <row r="190" spans="2:12" x14ac:dyDescent="0.3">
      <c r="B190" s="21">
        <f t="shared" si="20"/>
        <v>183</v>
      </c>
      <c r="C190" s="11">
        <f t="shared" ca="1" si="21"/>
        <v>44378</v>
      </c>
      <c r="D190" s="21" t="str">
        <f t="shared" ca="1" si="22"/>
        <v>CARRO GRANDE</v>
      </c>
      <c r="E190" s="21" t="str">
        <f t="shared" ca="1" si="23"/>
        <v>AKEP-4903</v>
      </c>
      <c r="F190" s="19" t="str">
        <f t="shared" ca="1" si="24"/>
        <v>09:29</v>
      </c>
      <c r="G190" s="19" t="str">
        <f t="shared" ca="1" si="25"/>
        <v>13:09</v>
      </c>
      <c r="H190" s="19">
        <f t="shared" ca="1" si="26"/>
        <v>0.15277777777777785</v>
      </c>
      <c r="I190" s="21" t="str">
        <f t="shared" ca="1" si="27"/>
        <v>Cartão</v>
      </c>
      <c r="J190" s="16">
        <f t="shared" ca="1" si="28"/>
        <v>73.333333333333371</v>
      </c>
      <c r="K190" s="21" t="str">
        <f t="shared" ca="1" si="29"/>
        <v>A5</v>
      </c>
      <c r="L190" s="21" t="s">
        <v>18</v>
      </c>
    </row>
    <row r="191" spans="2:12" x14ac:dyDescent="0.3">
      <c r="B191" s="21">
        <f t="shared" si="20"/>
        <v>184</v>
      </c>
      <c r="C191" s="11">
        <f t="shared" ca="1" si="21"/>
        <v>44438</v>
      </c>
      <c r="D191" s="21" t="str">
        <f t="shared" ca="1" si="22"/>
        <v>CARRO GRANDE</v>
      </c>
      <c r="E191" s="21" t="str">
        <f t="shared" ca="1" si="23"/>
        <v>JZCH-8123</v>
      </c>
      <c r="F191" s="19" t="str">
        <f t="shared" ca="1" si="24"/>
        <v>09:48</v>
      </c>
      <c r="G191" s="19" t="str">
        <f t="shared" ca="1" si="25"/>
        <v>12:21</v>
      </c>
      <c r="H191" s="19">
        <f t="shared" ca="1" si="26"/>
        <v>0.1062499999999999</v>
      </c>
      <c r="I191" s="21" t="str">
        <f t="shared" ca="1" si="27"/>
        <v>Cartão</v>
      </c>
      <c r="J191" s="16">
        <f t="shared" ca="1" si="28"/>
        <v>50.99999999999995</v>
      </c>
      <c r="K191" s="21" t="str">
        <f t="shared" ca="1" si="29"/>
        <v>B2</v>
      </c>
      <c r="L191" s="21" t="s">
        <v>18</v>
      </c>
    </row>
    <row r="192" spans="2:12" x14ac:dyDescent="0.3">
      <c r="B192" s="21">
        <f t="shared" si="20"/>
        <v>185</v>
      </c>
      <c r="C192" s="11">
        <f t="shared" ca="1" si="21"/>
        <v>44392</v>
      </c>
      <c r="D192" s="21" t="str">
        <f t="shared" ca="1" si="22"/>
        <v>MOTO</v>
      </c>
      <c r="E192" s="21" t="str">
        <f t="shared" ca="1" si="23"/>
        <v>RDFU-7775</v>
      </c>
      <c r="F192" s="19" t="str">
        <f t="shared" ca="1" si="24"/>
        <v>08:52</v>
      </c>
      <c r="G192" s="19" t="str">
        <f t="shared" ca="1" si="25"/>
        <v>15:14</v>
      </c>
      <c r="H192" s="19">
        <f t="shared" ca="1" si="26"/>
        <v>0.26527777777777772</v>
      </c>
      <c r="I192" s="21" t="str">
        <f t="shared" ca="1" si="27"/>
        <v>Dinheiro</v>
      </c>
      <c r="J192" s="16">
        <f t="shared" ca="1" si="28"/>
        <v>57.29999999999999</v>
      </c>
      <c r="K192" s="21" t="str">
        <f t="shared" ca="1" si="29"/>
        <v>B4</v>
      </c>
      <c r="L192" s="21" t="s">
        <v>18</v>
      </c>
    </row>
    <row r="193" spans="2:12" x14ac:dyDescent="0.3">
      <c r="B193" s="21">
        <f t="shared" si="20"/>
        <v>186</v>
      </c>
      <c r="C193" s="11">
        <f t="shared" ca="1" si="21"/>
        <v>44407</v>
      </c>
      <c r="D193" s="21" t="str">
        <f t="shared" ca="1" si="22"/>
        <v>CARRO PEQUENO</v>
      </c>
      <c r="E193" s="21" t="str">
        <f t="shared" ca="1" si="23"/>
        <v>HUYN-3650</v>
      </c>
      <c r="F193" s="19" t="str">
        <f t="shared" ca="1" si="24"/>
        <v>07:43</v>
      </c>
      <c r="G193" s="19" t="str">
        <f t="shared" ca="1" si="25"/>
        <v>12:05</v>
      </c>
      <c r="H193" s="19">
        <f t="shared" ca="1" si="26"/>
        <v>0.18194444444444441</v>
      </c>
      <c r="I193" s="21" t="str">
        <f t="shared" ca="1" si="27"/>
        <v>Cartão</v>
      </c>
      <c r="J193" s="16">
        <f t="shared" ca="1" si="28"/>
        <v>52.399999999999984</v>
      </c>
      <c r="K193" s="21" t="str">
        <f t="shared" ca="1" si="29"/>
        <v>C2</v>
      </c>
      <c r="L193" s="21" t="s">
        <v>18</v>
      </c>
    </row>
    <row r="194" spans="2:12" x14ac:dyDescent="0.3">
      <c r="B194" s="21">
        <f t="shared" si="20"/>
        <v>187</v>
      </c>
      <c r="C194" s="11">
        <f t="shared" ca="1" si="21"/>
        <v>44400</v>
      </c>
      <c r="D194" s="21" t="str">
        <f t="shared" ca="1" si="22"/>
        <v>CARRO MÉDIO</v>
      </c>
      <c r="E194" s="21" t="str">
        <f t="shared" ca="1" si="23"/>
        <v>YQRH-5433</v>
      </c>
      <c r="F194" s="19" t="str">
        <f t="shared" ca="1" si="24"/>
        <v>07:43</v>
      </c>
      <c r="G194" s="19" t="str">
        <f t="shared" ca="1" si="25"/>
        <v>13:16</v>
      </c>
      <c r="H194" s="19">
        <f t="shared" ca="1" si="26"/>
        <v>0.23125000000000001</v>
      </c>
      <c r="I194" s="21" t="str">
        <f t="shared" ca="1" si="27"/>
        <v>Dinheiro</v>
      </c>
      <c r="J194" s="16">
        <f t="shared" ca="1" si="28"/>
        <v>83.250000000000014</v>
      </c>
      <c r="K194" s="21" t="str">
        <f t="shared" ca="1" si="29"/>
        <v>B2</v>
      </c>
      <c r="L194" s="21" t="s">
        <v>18</v>
      </c>
    </row>
    <row r="195" spans="2:12" x14ac:dyDescent="0.3">
      <c r="B195" s="21">
        <f t="shared" si="20"/>
        <v>188</v>
      </c>
      <c r="C195" s="11">
        <f t="shared" ca="1" si="21"/>
        <v>44354</v>
      </c>
      <c r="D195" s="21" t="str">
        <f t="shared" ca="1" si="22"/>
        <v>CARRO MÉDIO</v>
      </c>
      <c r="E195" s="21" t="str">
        <f t="shared" ca="1" si="23"/>
        <v>NMIE-4963</v>
      </c>
      <c r="F195" s="19" t="str">
        <f t="shared" ca="1" si="24"/>
        <v>08:01</v>
      </c>
      <c r="G195" s="19" t="str">
        <f t="shared" ca="1" si="25"/>
        <v>14:21</v>
      </c>
      <c r="H195" s="19">
        <f t="shared" ca="1" si="26"/>
        <v>0.26388888888888884</v>
      </c>
      <c r="I195" s="21" t="str">
        <f t="shared" ca="1" si="27"/>
        <v>Dinheiro</v>
      </c>
      <c r="J195" s="16">
        <f t="shared" ca="1" si="28"/>
        <v>94.999999999999986</v>
      </c>
      <c r="K195" s="21" t="str">
        <f t="shared" ca="1" si="29"/>
        <v>C3</v>
      </c>
      <c r="L195" s="21" t="s">
        <v>18</v>
      </c>
    </row>
    <row r="196" spans="2:12" x14ac:dyDescent="0.3">
      <c r="B196" s="21">
        <f t="shared" si="20"/>
        <v>189</v>
      </c>
      <c r="C196" s="11">
        <f t="shared" ca="1" si="21"/>
        <v>44411</v>
      </c>
      <c r="D196" s="21" t="str">
        <f t="shared" ca="1" si="22"/>
        <v>MOTO</v>
      </c>
      <c r="E196" s="21" t="str">
        <f t="shared" ca="1" si="23"/>
        <v>UBUJ-7274</v>
      </c>
      <c r="F196" s="19" t="str">
        <f t="shared" ca="1" si="24"/>
        <v>08:39</v>
      </c>
      <c r="G196" s="19" t="str">
        <f t="shared" ca="1" si="25"/>
        <v>14:02</v>
      </c>
      <c r="H196" s="19">
        <f t="shared" ca="1" si="26"/>
        <v>0.22430555555555559</v>
      </c>
      <c r="I196" s="21" t="str">
        <f t="shared" ca="1" si="27"/>
        <v>Dinheiro</v>
      </c>
      <c r="J196" s="16">
        <f t="shared" ca="1" si="28"/>
        <v>48.45000000000001</v>
      </c>
      <c r="K196" s="21" t="str">
        <f t="shared" ca="1" si="29"/>
        <v>B1</v>
      </c>
      <c r="L196" s="21" t="s">
        <v>18</v>
      </c>
    </row>
    <row r="197" spans="2:12" x14ac:dyDescent="0.3">
      <c r="B197" s="21">
        <f t="shared" si="20"/>
        <v>190</v>
      </c>
      <c r="C197" s="11">
        <f t="shared" ca="1" si="21"/>
        <v>44438</v>
      </c>
      <c r="D197" s="21" t="str">
        <f t="shared" ca="1" si="22"/>
        <v>CARRO PEQUENO</v>
      </c>
      <c r="E197" s="21" t="str">
        <f t="shared" ca="1" si="23"/>
        <v>QXAD-2649</v>
      </c>
      <c r="F197" s="19" t="str">
        <f t="shared" ca="1" si="24"/>
        <v>07:59</v>
      </c>
      <c r="G197" s="19" t="str">
        <f t="shared" ca="1" si="25"/>
        <v>12:34</v>
      </c>
      <c r="H197" s="19">
        <f t="shared" ca="1" si="26"/>
        <v>0.19097222222222227</v>
      </c>
      <c r="I197" s="21" t="str">
        <f t="shared" ca="1" si="27"/>
        <v>Dinheiro</v>
      </c>
      <c r="J197" s="16">
        <f t="shared" ca="1" si="28"/>
        <v>55.000000000000007</v>
      </c>
      <c r="K197" s="21" t="str">
        <f t="shared" ca="1" si="29"/>
        <v>B2</v>
      </c>
      <c r="L197" s="21" t="s">
        <v>18</v>
      </c>
    </row>
    <row r="198" spans="2:12" x14ac:dyDescent="0.3">
      <c r="B198" s="21">
        <f t="shared" si="20"/>
        <v>191</v>
      </c>
      <c r="C198" s="11">
        <f t="shared" ca="1" si="21"/>
        <v>44444</v>
      </c>
      <c r="D198" s="21" t="str">
        <f t="shared" ca="1" si="22"/>
        <v>MOTO</v>
      </c>
      <c r="E198" s="21" t="str">
        <f t="shared" ca="1" si="23"/>
        <v>YMUV-3424</v>
      </c>
      <c r="F198" s="19" t="str">
        <f t="shared" ca="1" si="24"/>
        <v>10:41</v>
      </c>
      <c r="G198" s="19" t="str">
        <f t="shared" ca="1" si="25"/>
        <v>13:16</v>
      </c>
      <c r="H198" s="19">
        <f t="shared" ca="1" si="26"/>
        <v>0.1076388888888889</v>
      </c>
      <c r="I198" s="21" t="str">
        <f t="shared" ca="1" si="27"/>
        <v>Dinheiro</v>
      </c>
      <c r="J198" s="16">
        <f t="shared" ca="1" si="28"/>
        <v>23.25</v>
      </c>
      <c r="K198" s="21" t="str">
        <f t="shared" ca="1" si="29"/>
        <v>B1</v>
      </c>
      <c r="L198" s="21" t="s">
        <v>18</v>
      </c>
    </row>
    <row r="199" spans="2:12" x14ac:dyDescent="0.3">
      <c r="B199" s="21">
        <f t="shared" si="20"/>
        <v>192</v>
      </c>
      <c r="C199" s="11">
        <f t="shared" ca="1" si="21"/>
        <v>44442</v>
      </c>
      <c r="D199" s="21" t="str">
        <f t="shared" ca="1" si="22"/>
        <v>MOTO</v>
      </c>
      <c r="E199" s="21" t="str">
        <f t="shared" ca="1" si="23"/>
        <v>HJKB-5084</v>
      </c>
      <c r="F199" s="19" t="str">
        <f t="shared" ca="1" si="24"/>
        <v>08:46</v>
      </c>
      <c r="G199" s="19" t="str">
        <f t="shared" ca="1" si="25"/>
        <v>12:29</v>
      </c>
      <c r="H199" s="19">
        <f t="shared" ca="1" si="26"/>
        <v>0.15486111111111101</v>
      </c>
      <c r="I199" s="21" t="str">
        <f t="shared" ca="1" si="27"/>
        <v>Dinheiro</v>
      </c>
      <c r="J199" s="16">
        <f t="shared" ca="1" si="28"/>
        <v>33.449999999999974</v>
      </c>
      <c r="K199" s="21" t="str">
        <f t="shared" ca="1" si="29"/>
        <v>A1</v>
      </c>
      <c r="L199" s="21" t="s">
        <v>18</v>
      </c>
    </row>
    <row r="200" spans="2:12" x14ac:dyDescent="0.3">
      <c r="B200" s="21">
        <f t="shared" si="20"/>
        <v>193</v>
      </c>
      <c r="C200" s="11">
        <f t="shared" ca="1" si="21"/>
        <v>44428</v>
      </c>
      <c r="D200" s="21" t="str">
        <f t="shared" ca="1" si="22"/>
        <v>CARRO PEQUENO</v>
      </c>
      <c r="E200" s="21" t="str">
        <f t="shared" ca="1" si="23"/>
        <v>BGKU-9954</v>
      </c>
      <c r="F200" s="19" t="str">
        <f t="shared" ca="1" si="24"/>
        <v>08:03</v>
      </c>
      <c r="G200" s="19" t="str">
        <f t="shared" ca="1" si="25"/>
        <v>14:04</v>
      </c>
      <c r="H200" s="19">
        <f t="shared" ca="1" si="26"/>
        <v>0.25069444444444444</v>
      </c>
      <c r="I200" s="21" t="str">
        <f t="shared" ca="1" si="27"/>
        <v>Cartão</v>
      </c>
      <c r="J200" s="16">
        <f t="shared" ca="1" si="28"/>
        <v>72.2</v>
      </c>
      <c r="K200" s="21" t="str">
        <f t="shared" ca="1" si="29"/>
        <v>C3</v>
      </c>
      <c r="L200" s="21" t="s">
        <v>18</v>
      </c>
    </row>
    <row r="201" spans="2:12" x14ac:dyDescent="0.3">
      <c r="B201" s="21">
        <f t="shared" ref="B201:B260" si="30">ROW(A194)</f>
        <v>194</v>
      </c>
      <c r="C201" s="11">
        <f t="shared" ref="C201:C260" ca="1" si="31">DATE(2021,RANDBETWEEN(6,9),RANDBETWEEN(1,31))</f>
        <v>44438</v>
      </c>
      <c r="D201" s="21" t="str">
        <f t="shared" ref="D201:D260" ca="1" si="32">CHOOSE(RANDBETWEEN(1,4),$D$2,$D$3,$D$4,$D$5)</f>
        <v>MOTO</v>
      </c>
      <c r="E201" s="21" t="str">
        <f t="shared" ref="E201:E260" ca="1" si="33">CHAR(RANDBETWEEN(65,90))&amp;CHAR(RANDBETWEEN(65,90))&amp;CHAR(RANDBETWEEN(65,90))&amp;CHAR(RANDBETWEEN(65,90))&amp;"-"&amp;RANDBETWEEN(1111,9999)</f>
        <v>AONB-7034</v>
      </c>
      <c r="F201" s="19" t="str">
        <f t="shared" ref="F201:F260" ca="1" si="34">TEXT(RANDBETWEEN(7,11)&amp;":"&amp;RANDBETWEEN(1,59),"HH:MM")</f>
        <v>07:28</v>
      </c>
      <c r="G201" s="19" t="str">
        <f t="shared" ref="G201:G260" ca="1" si="35">TEXT(RANDBETWEEN(12,15)&amp;":"&amp;RANDBETWEEN(1,59),"HH:MM")</f>
        <v>13:44</v>
      </c>
      <c r="H201" s="19">
        <f t="shared" ref="H201:H260" ca="1" si="36">G201-F201</f>
        <v>0.26111111111111107</v>
      </c>
      <c r="I201" s="21" t="str">
        <f t="shared" ref="I201:I260" ca="1" si="37">CHOOSE(RANDBETWEEN(1,2),"Cartão","Dinheiro")</f>
        <v>Dinheiro</v>
      </c>
      <c r="J201" s="16">
        <f t="shared" ref="J201:J260" ca="1" si="38">H201*24*IF(D201=$D$2,$E$2,IF(D201=$D$3,$E$3,IF(D201=$D$4,$E$4,IF(D201=$D$5,$E$5))))</f>
        <v>56.399999999999991</v>
      </c>
      <c r="K201" s="21" t="str">
        <f t="shared" ref="K201:K260" ca="1" si="39">CHOOSE(RANDBETWEEN(1,15),"A1","A2","A3","A4","A5","B1","B2","B3","B4","B5","C1","C2","C3","C4","C5")</f>
        <v>B4</v>
      </c>
      <c r="L201" s="21" t="s">
        <v>18</v>
      </c>
    </row>
    <row r="202" spans="2:12" x14ac:dyDescent="0.3">
      <c r="B202" s="21">
        <f t="shared" si="30"/>
        <v>195</v>
      </c>
      <c r="C202" s="11">
        <f t="shared" ca="1" si="31"/>
        <v>44431</v>
      </c>
      <c r="D202" s="21" t="str">
        <f t="shared" ca="1" si="32"/>
        <v>MOTO</v>
      </c>
      <c r="E202" s="21" t="str">
        <f t="shared" ca="1" si="33"/>
        <v>RILJ-7803</v>
      </c>
      <c r="F202" s="19" t="str">
        <f t="shared" ca="1" si="34"/>
        <v>11:05</v>
      </c>
      <c r="G202" s="19" t="str">
        <f t="shared" ca="1" si="35"/>
        <v>15:30</v>
      </c>
      <c r="H202" s="19">
        <f t="shared" ca="1" si="36"/>
        <v>0.18402777777777779</v>
      </c>
      <c r="I202" s="21" t="str">
        <f t="shared" ca="1" si="37"/>
        <v>Dinheiro</v>
      </c>
      <c r="J202" s="16">
        <f t="shared" ca="1" si="38"/>
        <v>39.75</v>
      </c>
      <c r="K202" s="21" t="str">
        <f t="shared" ca="1" si="39"/>
        <v>A1</v>
      </c>
      <c r="L202" s="21" t="s">
        <v>18</v>
      </c>
    </row>
    <row r="203" spans="2:12" x14ac:dyDescent="0.3">
      <c r="B203" s="21">
        <f t="shared" si="30"/>
        <v>196</v>
      </c>
      <c r="C203" s="11">
        <f t="shared" ca="1" si="31"/>
        <v>44422</v>
      </c>
      <c r="D203" s="21" t="str">
        <f t="shared" ca="1" si="32"/>
        <v>MOTO</v>
      </c>
      <c r="E203" s="21" t="str">
        <f t="shared" ca="1" si="33"/>
        <v>IXNX-4221</v>
      </c>
      <c r="F203" s="19" t="str">
        <f t="shared" ca="1" si="34"/>
        <v>07:57</v>
      </c>
      <c r="G203" s="19" t="str">
        <f t="shared" ca="1" si="35"/>
        <v>13:07</v>
      </c>
      <c r="H203" s="19">
        <f t="shared" ca="1" si="36"/>
        <v>0.21527777777777785</v>
      </c>
      <c r="I203" s="21" t="str">
        <f t="shared" ca="1" si="37"/>
        <v>Dinheiro</v>
      </c>
      <c r="J203" s="16">
        <f t="shared" ca="1" si="38"/>
        <v>46.500000000000014</v>
      </c>
      <c r="K203" s="21" t="str">
        <f t="shared" ca="1" si="39"/>
        <v>B4</v>
      </c>
      <c r="L203" s="21" t="s">
        <v>18</v>
      </c>
    </row>
    <row r="204" spans="2:12" x14ac:dyDescent="0.3">
      <c r="B204" s="21">
        <f t="shared" si="30"/>
        <v>197</v>
      </c>
      <c r="C204" s="11">
        <f t="shared" ca="1" si="31"/>
        <v>44416</v>
      </c>
      <c r="D204" s="21" t="str">
        <f t="shared" ca="1" si="32"/>
        <v>MOTO</v>
      </c>
      <c r="E204" s="21" t="str">
        <f t="shared" ca="1" si="33"/>
        <v>XHTV-6060</v>
      </c>
      <c r="F204" s="19" t="str">
        <f t="shared" ca="1" si="34"/>
        <v>11:19</v>
      </c>
      <c r="G204" s="19" t="str">
        <f t="shared" ca="1" si="35"/>
        <v>13:04</v>
      </c>
      <c r="H204" s="19">
        <f t="shared" ca="1" si="36"/>
        <v>7.291666666666663E-2</v>
      </c>
      <c r="I204" s="21" t="str">
        <f t="shared" ca="1" si="37"/>
        <v>Cartão</v>
      </c>
      <c r="J204" s="16">
        <f t="shared" ca="1" si="38"/>
        <v>15.749999999999993</v>
      </c>
      <c r="K204" s="21" t="str">
        <f t="shared" ca="1" si="39"/>
        <v>C4</v>
      </c>
      <c r="L204" s="21" t="s">
        <v>18</v>
      </c>
    </row>
    <row r="205" spans="2:12" x14ac:dyDescent="0.3">
      <c r="B205" s="21">
        <f t="shared" si="30"/>
        <v>198</v>
      </c>
      <c r="C205" s="11">
        <f t="shared" ca="1" si="31"/>
        <v>44391</v>
      </c>
      <c r="D205" s="21" t="str">
        <f t="shared" ca="1" si="32"/>
        <v>CARRO GRANDE</v>
      </c>
      <c r="E205" s="21" t="str">
        <f t="shared" ca="1" si="33"/>
        <v>QJNP-1411</v>
      </c>
      <c r="F205" s="19" t="str">
        <f t="shared" ca="1" si="34"/>
        <v>10:13</v>
      </c>
      <c r="G205" s="19" t="str">
        <f t="shared" ca="1" si="35"/>
        <v>15:46</v>
      </c>
      <c r="H205" s="19">
        <f t="shared" ca="1" si="36"/>
        <v>0.23125000000000001</v>
      </c>
      <c r="I205" s="21" t="str">
        <f t="shared" ca="1" si="37"/>
        <v>Dinheiro</v>
      </c>
      <c r="J205" s="16">
        <f t="shared" ca="1" si="38"/>
        <v>111.00000000000001</v>
      </c>
      <c r="K205" s="21" t="str">
        <f t="shared" ca="1" si="39"/>
        <v>A2</v>
      </c>
      <c r="L205" s="21" t="s">
        <v>18</v>
      </c>
    </row>
    <row r="206" spans="2:12" x14ac:dyDescent="0.3">
      <c r="B206" s="21">
        <f t="shared" si="30"/>
        <v>199</v>
      </c>
      <c r="C206" s="11">
        <f t="shared" ca="1" si="31"/>
        <v>44361</v>
      </c>
      <c r="D206" s="21" t="str">
        <f t="shared" ca="1" si="32"/>
        <v>CARRO GRANDE</v>
      </c>
      <c r="E206" s="21" t="str">
        <f t="shared" ca="1" si="33"/>
        <v>HZBI-5474</v>
      </c>
      <c r="F206" s="19" t="str">
        <f t="shared" ca="1" si="34"/>
        <v>11:50</v>
      </c>
      <c r="G206" s="19" t="str">
        <f t="shared" ca="1" si="35"/>
        <v>12:58</v>
      </c>
      <c r="H206" s="19">
        <f t="shared" ca="1" si="36"/>
        <v>4.7222222222222165E-2</v>
      </c>
      <c r="I206" s="21" t="str">
        <f t="shared" ca="1" si="37"/>
        <v>Cartão</v>
      </c>
      <c r="J206" s="16">
        <f t="shared" ca="1" si="38"/>
        <v>22.666666666666639</v>
      </c>
      <c r="K206" s="21" t="str">
        <f t="shared" ca="1" si="39"/>
        <v>C5</v>
      </c>
      <c r="L206" s="21" t="s">
        <v>18</v>
      </c>
    </row>
    <row r="207" spans="2:12" x14ac:dyDescent="0.3">
      <c r="B207" s="21">
        <f t="shared" si="30"/>
        <v>200</v>
      </c>
      <c r="C207" s="11">
        <f t="shared" ca="1" si="31"/>
        <v>44400</v>
      </c>
      <c r="D207" s="21" t="str">
        <f t="shared" ca="1" si="32"/>
        <v>CARRO MÉDIO</v>
      </c>
      <c r="E207" s="21" t="str">
        <f t="shared" ca="1" si="33"/>
        <v>UGET-4844</v>
      </c>
      <c r="F207" s="19" t="str">
        <f t="shared" ca="1" si="34"/>
        <v>10:19</v>
      </c>
      <c r="G207" s="19" t="str">
        <f t="shared" ca="1" si="35"/>
        <v>13:28</v>
      </c>
      <c r="H207" s="19">
        <f t="shared" ca="1" si="36"/>
        <v>0.13125000000000003</v>
      </c>
      <c r="I207" s="21" t="str">
        <f t="shared" ca="1" si="37"/>
        <v>Cartão</v>
      </c>
      <c r="J207" s="16">
        <f t="shared" ca="1" si="38"/>
        <v>47.250000000000014</v>
      </c>
      <c r="K207" s="21" t="str">
        <f t="shared" ca="1" si="39"/>
        <v>C3</v>
      </c>
      <c r="L207" s="21" t="s">
        <v>18</v>
      </c>
    </row>
    <row r="208" spans="2:12" x14ac:dyDescent="0.3">
      <c r="B208" s="21">
        <f t="shared" si="30"/>
        <v>201</v>
      </c>
      <c r="C208" s="11">
        <f t="shared" ca="1" si="31"/>
        <v>44373</v>
      </c>
      <c r="D208" s="21" t="str">
        <f t="shared" ca="1" si="32"/>
        <v>MOTO</v>
      </c>
      <c r="E208" s="21" t="str">
        <f t="shared" ca="1" si="33"/>
        <v>XWAQ-7429</v>
      </c>
      <c r="F208" s="19" t="str">
        <f t="shared" ca="1" si="34"/>
        <v>09:59</v>
      </c>
      <c r="G208" s="19" t="str">
        <f t="shared" ca="1" si="35"/>
        <v>14:02</v>
      </c>
      <c r="H208" s="19">
        <f t="shared" ca="1" si="36"/>
        <v>0.16875000000000007</v>
      </c>
      <c r="I208" s="21" t="str">
        <f t="shared" ca="1" si="37"/>
        <v>Dinheiro</v>
      </c>
      <c r="J208" s="16">
        <f t="shared" ca="1" si="38"/>
        <v>36.450000000000017</v>
      </c>
      <c r="K208" s="21" t="str">
        <f t="shared" ca="1" si="39"/>
        <v>A3</v>
      </c>
      <c r="L208" s="21" t="s">
        <v>18</v>
      </c>
    </row>
    <row r="209" spans="2:12" x14ac:dyDescent="0.3">
      <c r="B209" s="21">
        <f t="shared" si="30"/>
        <v>202</v>
      </c>
      <c r="C209" s="11">
        <f t="shared" ca="1" si="31"/>
        <v>44428</v>
      </c>
      <c r="D209" s="21" t="str">
        <f t="shared" ca="1" si="32"/>
        <v>CARRO PEQUENO</v>
      </c>
      <c r="E209" s="21" t="str">
        <f t="shared" ca="1" si="33"/>
        <v>ZFGS-9973</v>
      </c>
      <c r="F209" s="19" t="str">
        <f t="shared" ca="1" si="34"/>
        <v>10:09</v>
      </c>
      <c r="G209" s="19" t="str">
        <f t="shared" ca="1" si="35"/>
        <v>13:37</v>
      </c>
      <c r="H209" s="19">
        <f t="shared" ca="1" si="36"/>
        <v>0.14444444444444443</v>
      </c>
      <c r="I209" s="21" t="str">
        <f t="shared" ca="1" si="37"/>
        <v>Cartão</v>
      </c>
      <c r="J209" s="16">
        <f t="shared" ca="1" si="38"/>
        <v>41.599999999999994</v>
      </c>
      <c r="K209" s="21" t="str">
        <f t="shared" ca="1" si="39"/>
        <v>C5</v>
      </c>
      <c r="L209" s="21" t="s">
        <v>18</v>
      </c>
    </row>
    <row r="210" spans="2:12" x14ac:dyDescent="0.3">
      <c r="B210" s="21">
        <f t="shared" si="30"/>
        <v>203</v>
      </c>
      <c r="C210" s="11">
        <f t="shared" ca="1" si="31"/>
        <v>44444</v>
      </c>
      <c r="D210" s="21" t="str">
        <f t="shared" ca="1" si="32"/>
        <v>MOTO</v>
      </c>
      <c r="E210" s="21" t="str">
        <f t="shared" ca="1" si="33"/>
        <v>UTYX-3917</v>
      </c>
      <c r="F210" s="19" t="str">
        <f t="shared" ca="1" si="34"/>
        <v>11:48</v>
      </c>
      <c r="G210" s="19" t="str">
        <f t="shared" ca="1" si="35"/>
        <v>12:01</v>
      </c>
      <c r="H210" s="19">
        <f t="shared" ca="1" si="36"/>
        <v>9.0277777777777457E-3</v>
      </c>
      <c r="I210" s="21" t="str">
        <f t="shared" ca="1" si="37"/>
        <v>Dinheiro</v>
      </c>
      <c r="J210" s="16">
        <f t="shared" ca="1" si="38"/>
        <v>1.9499999999999931</v>
      </c>
      <c r="K210" s="21" t="str">
        <f t="shared" ca="1" si="39"/>
        <v>B5</v>
      </c>
      <c r="L210" s="21" t="s">
        <v>18</v>
      </c>
    </row>
    <row r="211" spans="2:12" x14ac:dyDescent="0.3">
      <c r="B211" s="21">
        <f t="shared" si="30"/>
        <v>204</v>
      </c>
      <c r="C211" s="11">
        <f t="shared" ca="1" si="31"/>
        <v>44410</v>
      </c>
      <c r="D211" s="21" t="str">
        <f t="shared" ca="1" si="32"/>
        <v>CARRO GRANDE</v>
      </c>
      <c r="E211" s="21" t="str">
        <f t="shared" ca="1" si="33"/>
        <v>MOED-9180</v>
      </c>
      <c r="F211" s="19" t="str">
        <f t="shared" ca="1" si="34"/>
        <v>10:01</v>
      </c>
      <c r="G211" s="19" t="str">
        <f t="shared" ca="1" si="35"/>
        <v>14:37</v>
      </c>
      <c r="H211" s="19">
        <f t="shared" ca="1" si="36"/>
        <v>0.19166666666666671</v>
      </c>
      <c r="I211" s="21" t="str">
        <f t="shared" ca="1" si="37"/>
        <v>Dinheiro</v>
      </c>
      <c r="J211" s="16">
        <f t="shared" ca="1" si="38"/>
        <v>92.000000000000028</v>
      </c>
      <c r="K211" s="21" t="str">
        <f t="shared" ca="1" si="39"/>
        <v>A1</v>
      </c>
      <c r="L211" s="21" t="s">
        <v>18</v>
      </c>
    </row>
    <row r="212" spans="2:12" x14ac:dyDescent="0.3">
      <c r="B212" s="21">
        <f t="shared" si="30"/>
        <v>205</v>
      </c>
      <c r="C212" s="11">
        <f t="shared" ca="1" si="31"/>
        <v>44372</v>
      </c>
      <c r="D212" s="21" t="str">
        <f t="shared" ca="1" si="32"/>
        <v>CARRO MÉDIO</v>
      </c>
      <c r="E212" s="21" t="str">
        <f t="shared" ca="1" si="33"/>
        <v>HZTD-7186</v>
      </c>
      <c r="F212" s="19" t="str">
        <f t="shared" ca="1" si="34"/>
        <v>07:35</v>
      </c>
      <c r="G212" s="19" t="str">
        <f t="shared" ca="1" si="35"/>
        <v>14:41</v>
      </c>
      <c r="H212" s="19">
        <f t="shared" ca="1" si="36"/>
        <v>0.29583333333333339</v>
      </c>
      <c r="I212" s="21" t="str">
        <f t="shared" ca="1" si="37"/>
        <v>Cartão</v>
      </c>
      <c r="J212" s="16">
        <f t="shared" ca="1" si="38"/>
        <v>106.50000000000003</v>
      </c>
      <c r="K212" s="21" t="str">
        <f t="shared" ca="1" si="39"/>
        <v>C2</v>
      </c>
      <c r="L212" s="21" t="s">
        <v>18</v>
      </c>
    </row>
    <row r="213" spans="2:12" x14ac:dyDescent="0.3">
      <c r="B213" s="21">
        <f t="shared" si="30"/>
        <v>206</v>
      </c>
      <c r="C213" s="11">
        <f t="shared" ca="1" si="31"/>
        <v>44470</v>
      </c>
      <c r="D213" s="21" t="str">
        <f t="shared" ca="1" si="32"/>
        <v>MOTO</v>
      </c>
      <c r="E213" s="21" t="str">
        <f t="shared" ca="1" si="33"/>
        <v>PHPG-9258</v>
      </c>
      <c r="F213" s="19" t="str">
        <f t="shared" ca="1" si="34"/>
        <v>11:05</v>
      </c>
      <c r="G213" s="19" t="str">
        <f t="shared" ca="1" si="35"/>
        <v>14:23</v>
      </c>
      <c r="H213" s="19">
        <f t="shared" ca="1" si="36"/>
        <v>0.13749999999999996</v>
      </c>
      <c r="I213" s="21" t="str">
        <f t="shared" ca="1" si="37"/>
        <v>Cartão</v>
      </c>
      <c r="J213" s="16">
        <f t="shared" ca="1" si="38"/>
        <v>29.699999999999989</v>
      </c>
      <c r="K213" s="21" t="str">
        <f t="shared" ca="1" si="39"/>
        <v>C5</v>
      </c>
      <c r="L213" s="21" t="s">
        <v>18</v>
      </c>
    </row>
    <row r="214" spans="2:12" x14ac:dyDescent="0.3">
      <c r="B214" s="21">
        <f t="shared" si="30"/>
        <v>207</v>
      </c>
      <c r="C214" s="11">
        <f t="shared" ca="1" si="31"/>
        <v>44397</v>
      </c>
      <c r="D214" s="21" t="str">
        <f t="shared" ca="1" si="32"/>
        <v>CARRO PEQUENO</v>
      </c>
      <c r="E214" s="21" t="str">
        <f t="shared" ca="1" si="33"/>
        <v>LOJK-1560</v>
      </c>
      <c r="F214" s="19" t="str">
        <f t="shared" ca="1" si="34"/>
        <v>11:19</v>
      </c>
      <c r="G214" s="19" t="str">
        <f t="shared" ca="1" si="35"/>
        <v>12:51</v>
      </c>
      <c r="H214" s="19">
        <f t="shared" ca="1" si="36"/>
        <v>6.3888888888888884E-2</v>
      </c>
      <c r="I214" s="21" t="str">
        <f t="shared" ca="1" si="37"/>
        <v>Dinheiro</v>
      </c>
      <c r="J214" s="16">
        <f t="shared" ca="1" si="38"/>
        <v>18.399999999999999</v>
      </c>
      <c r="K214" s="21" t="str">
        <f t="shared" ca="1" si="39"/>
        <v>C1</v>
      </c>
      <c r="L214" s="21" t="s">
        <v>18</v>
      </c>
    </row>
    <row r="215" spans="2:12" x14ac:dyDescent="0.3">
      <c r="B215" s="21">
        <f t="shared" si="30"/>
        <v>208</v>
      </c>
      <c r="C215" s="11">
        <f t="shared" ca="1" si="31"/>
        <v>44460</v>
      </c>
      <c r="D215" s="21" t="str">
        <f t="shared" ca="1" si="32"/>
        <v>CARRO PEQUENO</v>
      </c>
      <c r="E215" s="21" t="str">
        <f t="shared" ca="1" si="33"/>
        <v>EIOL-6343</v>
      </c>
      <c r="F215" s="19" t="str">
        <f t="shared" ca="1" si="34"/>
        <v>10:31</v>
      </c>
      <c r="G215" s="19" t="str">
        <f t="shared" ca="1" si="35"/>
        <v>13:47</v>
      </c>
      <c r="H215" s="19">
        <f t="shared" ca="1" si="36"/>
        <v>0.13611111111111102</v>
      </c>
      <c r="I215" s="21" t="str">
        <f t="shared" ca="1" si="37"/>
        <v>Dinheiro</v>
      </c>
      <c r="J215" s="16">
        <f t="shared" ca="1" si="38"/>
        <v>39.199999999999974</v>
      </c>
      <c r="K215" s="21" t="str">
        <f t="shared" ca="1" si="39"/>
        <v>C1</v>
      </c>
      <c r="L215" s="21" t="s">
        <v>18</v>
      </c>
    </row>
    <row r="216" spans="2:12" x14ac:dyDescent="0.3">
      <c r="B216" s="21">
        <f t="shared" si="30"/>
        <v>209</v>
      </c>
      <c r="C216" s="11">
        <f t="shared" ca="1" si="31"/>
        <v>44354</v>
      </c>
      <c r="D216" s="21" t="str">
        <f t="shared" ca="1" si="32"/>
        <v>CARRO PEQUENO</v>
      </c>
      <c r="E216" s="21" t="str">
        <f t="shared" ca="1" si="33"/>
        <v>ENHE-6628</v>
      </c>
      <c r="F216" s="19" t="str">
        <f t="shared" ca="1" si="34"/>
        <v>08:20</v>
      </c>
      <c r="G216" s="19" t="str">
        <f t="shared" ca="1" si="35"/>
        <v>13:33</v>
      </c>
      <c r="H216" s="19">
        <f t="shared" ca="1" si="36"/>
        <v>0.21736111111111106</v>
      </c>
      <c r="I216" s="21" t="str">
        <f t="shared" ca="1" si="37"/>
        <v>Cartão</v>
      </c>
      <c r="J216" s="16">
        <f t="shared" ca="1" si="38"/>
        <v>62.59999999999998</v>
      </c>
      <c r="K216" s="21" t="str">
        <f t="shared" ca="1" si="39"/>
        <v>A4</v>
      </c>
      <c r="L216" s="21" t="s">
        <v>18</v>
      </c>
    </row>
    <row r="217" spans="2:12" x14ac:dyDescent="0.3">
      <c r="B217" s="21">
        <f t="shared" si="30"/>
        <v>210</v>
      </c>
      <c r="C217" s="11">
        <f t="shared" ca="1" si="31"/>
        <v>44376</v>
      </c>
      <c r="D217" s="21" t="str">
        <f t="shared" ca="1" si="32"/>
        <v>CARRO GRANDE</v>
      </c>
      <c r="E217" s="21" t="str">
        <f t="shared" ca="1" si="33"/>
        <v>QVKO-6415</v>
      </c>
      <c r="F217" s="19" t="str">
        <f t="shared" ca="1" si="34"/>
        <v>11:21</v>
      </c>
      <c r="G217" s="19" t="str">
        <f t="shared" ca="1" si="35"/>
        <v>13:19</v>
      </c>
      <c r="H217" s="19">
        <f t="shared" ca="1" si="36"/>
        <v>8.1944444444444486E-2</v>
      </c>
      <c r="I217" s="21" t="str">
        <f t="shared" ca="1" si="37"/>
        <v>Dinheiro</v>
      </c>
      <c r="J217" s="16">
        <f t="shared" ca="1" si="38"/>
        <v>39.333333333333357</v>
      </c>
      <c r="K217" s="21" t="str">
        <f t="shared" ca="1" si="39"/>
        <v>B4</v>
      </c>
      <c r="L217" s="21" t="s">
        <v>18</v>
      </c>
    </row>
    <row r="218" spans="2:12" x14ac:dyDescent="0.3">
      <c r="B218" s="21">
        <f t="shared" si="30"/>
        <v>211</v>
      </c>
      <c r="C218" s="11">
        <f t="shared" ca="1" si="31"/>
        <v>44352</v>
      </c>
      <c r="D218" s="21" t="str">
        <f t="shared" ca="1" si="32"/>
        <v>CARRO PEQUENO</v>
      </c>
      <c r="E218" s="21" t="str">
        <f t="shared" ca="1" si="33"/>
        <v>NUID-6460</v>
      </c>
      <c r="F218" s="19" t="str">
        <f t="shared" ca="1" si="34"/>
        <v>11:47</v>
      </c>
      <c r="G218" s="19" t="str">
        <f t="shared" ca="1" si="35"/>
        <v>13:40</v>
      </c>
      <c r="H218" s="19">
        <f t="shared" ca="1" si="36"/>
        <v>7.8472222222222221E-2</v>
      </c>
      <c r="I218" s="21" t="str">
        <f t="shared" ca="1" si="37"/>
        <v>Dinheiro</v>
      </c>
      <c r="J218" s="16">
        <f t="shared" ca="1" si="38"/>
        <v>22.6</v>
      </c>
      <c r="K218" s="21" t="str">
        <f t="shared" ca="1" si="39"/>
        <v>B2</v>
      </c>
      <c r="L218" s="21" t="s">
        <v>18</v>
      </c>
    </row>
    <row r="219" spans="2:12" x14ac:dyDescent="0.3">
      <c r="B219" s="21">
        <f t="shared" si="30"/>
        <v>212</v>
      </c>
      <c r="C219" s="11">
        <f t="shared" ca="1" si="31"/>
        <v>44459</v>
      </c>
      <c r="D219" s="21" t="str">
        <f t="shared" ca="1" si="32"/>
        <v>CARRO PEQUENO</v>
      </c>
      <c r="E219" s="21" t="str">
        <f t="shared" ca="1" si="33"/>
        <v>VIEF-8262</v>
      </c>
      <c r="F219" s="19" t="str">
        <f t="shared" ca="1" si="34"/>
        <v>11:48</v>
      </c>
      <c r="G219" s="19" t="str">
        <f t="shared" ca="1" si="35"/>
        <v>12:36</v>
      </c>
      <c r="H219" s="19">
        <f t="shared" ca="1" si="36"/>
        <v>3.3333333333333326E-2</v>
      </c>
      <c r="I219" s="21" t="str">
        <f t="shared" ca="1" si="37"/>
        <v>Cartão</v>
      </c>
      <c r="J219" s="16">
        <f t="shared" ca="1" si="38"/>
        <v>9.5999999999999979</v>
      </c>
      <c r="K219" s="21" t="str">
        <f t="shared" ca="1" si="39"/>
        <v>B2</v>
      </c>
      <c r="L219" s="21" t="s">
        <v>18</v>
      </c>
    </row>
    <row r="220" spans="2:12" x14ac:dyDescent="0.3">
      <c r="B220" s="21">
        <f t="shared" si="30"/>
        <v>213</v>
      </c>
      <c r="C220" s="11">
        <f t="shared" ca="1" si="31"/>
        <v>44353</v>
      </c>
      <c r="D220" s="21" t="str">
        <f t="shared" ca="1" si="32"/>
        <v>CARRO MÉDIO</v>
      </c>
      <c r="E220" s="21" t="str">
        <f t="shared" ca="1" si="33"/>
        <v>GSVE-3153</v>
      </c>
      <c r="F220" s="19" t="str">
        <f t="shared" ca="1" si="34"/>
        <v>11:34</v>
      </c>
      <c r="G220" s="19" t="str">
        <f t="shared" ca="1" si="35"/>
        <v>13:35</v>
      </c>
      <c r="H220" s="19">
        <f t="shared" ca="1" si="36"/>
        <v>8.4027777777777757E-2</v>
      </c>
      <c r="I220" s="21" t="str">
        <f t="shared" ca="1" si="37"/>
        <v>Cartão</v>
      </c>
      <c r="J220" s="16">
        <f t="shared" ca="1" si="38"/>
        <v>30.249999999999993</v>
      </c>
      <c r="K220" s="21" t="str">
        <f t="shared" ca="1" si="39"/>
        <v>C5</v>
      </c>
      <c r="L220" s="21" t="s">
        <v>18</v>
      </c>
    </row>
    <row r="221" spans="2:12" x14ac:dyDescent="0.3">
      <c r="B221" s="21">
        <f t="shared" si="30"/>
        <v>214</v>
      </c>
      <c r="C221" s="11">
        <f t="shared" ca="1" si="31"/>
        <v>44422</v>
      </c>
      <c r="D221" s="21" t="str">
        <f t="shared" ca="1" si="32"/>
        <v>CARRO PEQUENO</v>
      </c>
      <c r="E221" s="21" t="str">
        <f t="shared" ca="1" si="33"/>
        <v>WSHE-2740</v>
      </c>
      <c r="F221" s="19" t="str">
        <f t="shared" ca="1" si="34"/>
        <v>11:56</v>
      </c>
      <c r="G221" s="19" t="str">
        <f t="shared" ca="1" si="35"/>
        <v>12:15</v>
      </c>
      <c r="H221" s="19">
        <f t="shared" ca="1" si="36"/>
        <v>1.3194444444444398E-2</v>
      </c>
      <c r="I221" s="21" t="str">
        <f t="shared" ca="1" si="37"/>
        <v>Dinheiro</v>
      </c>
      <c r="J221" s="16">
        <f t="shared" ca="1" si="38"/>
        <v>3.7999999999999865</v>
      </c>
      <c r="K221" s="21" t="str">
        <f t="shared" ca="1" si="39"/>
        <v>C5</v>
      </c>
      <c r="L221" s="21" t="s">
        <v>18</v>
      </c>
    </row>
    <row r="222" spans="2:12" x14ac:dyDescent="0.3">
      <c r="B222" s="21">
        <f t="shared" si="30"/>
        <v>215</v>
      </c>
      <c r="C222" s="11">
        <f t="shared" ca="1" si="31"/>
        <v>44356</v>
      </c>
      <c r="D222" s="21" t="str">
        <f t="shared" ca="1" si="32"/>
        <v>MOTO</v>
      </c>
      <c r="E222" s="21" t="str">
        <f t="shared" ca="1" si="33"/>
        <v>CUNB-5658</v>
      </c>
      <c r="F222" s="19" t="str">
        <f t="shared" ca="1" si="34"/>
        <v>08:40</v>
      </c>
      <c r="G222" s="19" t="str">
        <f t="shared" ca="1" si="35"/>
        <v>14:05</v>
      </c>
      <c r="H222" s="19">
        <f t="shared" ca="1" si="36"/>
        <v>0.22569444444444448</v>
      </c>
      <c r="I222" s="21" t="str">
        <f t="shared" ca="1" si="37"/>
        <v>Dinheiro</v>
      </c>
      <c r="J222" s="16">
        <f t="shared" ca="1" si="38"/>
        <v>48.750000000000014</v>
      </c>
      <c r="K222" s="21" t="str">
        <f t="shared" ca="1" si="39"/>
        <v>A1</v>
      </c>
      <c r="L222" s="21" t="s">
        <v>18</v>
      </c>
    </row>
    <row r="223" spans="2:12" x14ac:dyDescent="0.3">
      <c r="B223" s="21">
        <f t="shared" si="30"/>
        <v>216</v>
      </c>
      <c r="C223" s="11">
        <f t="shared" ca="1" si="31"/>
        <v>44416</v>
      </c>
      <c r="D223" s="21" t="str">
        <f t="shared" ca="1" si="32"/>
        <v>CARRO MÉDIO</v>
      </c>
      <c r="E223" s="21" t="str">
        <f t="shared" ca="1" si="33"/>
        <v>NPPS-5286</v>
      </c>
      <c r="F223" s="19" t="str">
        <f t="shared" ca="1" si="34"/>
        <v>08:58</v>
      </c>
      <c r="G223" s="19" t="str">
        <f t="shared" ca="1" si="35"/>
        <v>12:42</v>
      </c>
      <c r="H223" s="19">
        <f t="shared" ca="1" si="36"/>
        <v>0.15555555555555556</v>
      </c>
      <c r="I223" s="21" t="str">
        <f t="shared" ca="1" si="37"/>
        <v>Cartão</v>
      </c>
      <c r="J223" s="16">
        <f t="shared" ca="1" si="38"/>
        <v>56</v>
      </c>
      <c r="K223" s="21" t="str">
        <f t="shared" ca="1" si="39"/>
        <v>B1</v>
      </c>
      <c r="L223" s="21" t="s">
        <v>18</v>
      </c>
    </row>
    <row r="224" spans="2:12" x14ac:dyDescent="0.3">
      <c r="B224" s="21">
        <f t="shared" si="30"/>
        <v>217</v>
      </c>
      <c r="C224" s="11">
        <f t="shared" ca="1" si="31"/>
        <v>44393</v>
      </c>
      <c r="D224" s="21" t="str">
        <f t="shared" ca="1" si="32"/>
        <v>CARRO GRANDE</v>
      </c>
      <c r="E224" s="21" t="str">
        <f t="shared" ca="1" si="33"/>
        <v>QAJD-4740</v>
      </c>
      <c r="F224" s="19" t="str">
        <f t="shared" ca="1" si="34"/>
        <v>07:14</v>
      </c>
      <c r="G224" s="19" t="str">
        <f t="shared" ca="1" si="35"/>
        <v>15:41</v>
      </c>
      <c r="H224" s="19">
        <f t="shared" ca="1" si="36"/>
        <v>0.35208333333333336</v>
      </c>
      <c r="I224" s="21" t="str">
        <f t="shared" ca="1" si="37"/>
        <v>Dinheiro</v>
      </c>
      <c r="J224" s="16">
        <f t="shared" ca="1" si="38"/>
        <v>169.00000000000003</v>
      </c>
      <c r="K224" s="21" t="str">
        <f t="shared" ca="1" si="39"/>
        <v>B3</v>
      </c>
      <c r="L224" s="21" t="s">
        <v>18</v>
      </c>
    </row>
    <row r="225" spans="2:12" x14ac:dyDescent="0.3">
      <c r="B225" s="21">
        <f t="shared" si="30"/>
        <v>218</v>
      </c>
      <c r="C225" s="11">
        <f t="shared" ca="1" si="31"/>
        <v>44407</v>
      </c>
      <c r="D225" s="21" t="str">
        <f t="shared" ca="1" si="32"/>
        <v>MOTO</v>
      </c>
      <c r="E225" s="21" t="str">
        <f t="shared" ca="1" si="33"/>
        <v>SQHM-9959</v>
      </c>
      <c r="F225" s="19" t="str">
        <f t="shared" ca="1" si="34"/>
        <v>10:35</v>
      </c>
      <c r="G225" s="19" t="str">
        <f t="shared" ca="1" si="35"/>
        <v>12:09</v>
      </c>
      <c r="H225" s="19">
        <f t="shared" ca="1" si="36"/>
        <v>6.5277777777777712E-2</v>
      </c>
      <c r="I225" s="21" t="str">
        <f t="shared" ca="1" si="37"/>
        <v>Dinheiro</v>
      </c>
      <c r="J225" s="16">
        <f t="shared" ca="1" si="38"/>
        <v>14.099999999999985</v>
      </c>
      <c r="K225" s="21" t="str">
        <f t="shared" ca="1" si="39"/>
        <v>B4</v>
      </c>
      <c r="L225" s="21" t="s">
        <v>18</v>
      </c>
    </row>
    <row r="226" spans="2:12" x14ac:dyDescent="0.3">
      <c r="B226" s="21">
        <f t="shared" si="30"/>
        <v>219</v>
      </c>
      <c r="C226" s="11">
        <f t="shared" ca="1" si="31"/>
        <v>44395</v>
      </c>
      <c r="D226" s="21" t="str">
        <f t="shared" ca="1" si="32"/>
        <v>CARRO MÉDIO</v>
      </c>
      <c r="E226" s="21" t="str">
        <f t="shared" ca="1" si="33"/>
        <v>SWHR-7313</v>
      </c>
      <c r="F226" s="19" t="str">
        <f t="shared" ca="1" si="34"/>
        <v>10:01</v>
      </c>
      <c r="G226" s="19" t="str">
        <f t="shared" ca="1" si="35"/>
        <v>12:17</v>
      </c>
      <c r="H226" s="19">
        <f t="shared" ca="1" si="36"/>
        <v>9.4444444444444386E-2</v>
      </c>
      <c r="I226" s="21" t="str">
        <f t="shared" ca="1" si="37"/>
        <v>Cartão</v>
      </c>
      <c r="J226" s="16">
        <f t="shared" ca="1" si="38"/>
        <v>33.999999999999979</v>
      </c>
      <c r="K226" s="21" t="str">
        <f t="shared" ca="1" si="39"/>
        <v>A1</v>
      </c>
      <c r="L226" s="21" t="s">
        <v>18</v>
      </c>
    </row>
    <row r="227" spans="2:12" x14ac:dyDescent="0.3">
      <c r="B227" s="21">
        <f t="shared" si="30"/>
        <v>220</v>
      </c>
      <c r="C227" s="11">
        <f t="shared" ca="1" si="31"/>
        <v>44418</v>
      </c>
      <c r="D227" s="21" t="str">
        <f t="shared" ca="1" si="32"/>
        <v>CARRO GRANDE</v>
      </c>
      <c r="E227" s="21" t="str">
        <f t="shared" ca="1" si="33"/>
        <v>ALGH-1981</v>
      </c>
      <c r="F227" s="19" t="str">
        <f t="shared" ca="1" si="34"/>
        <v>09:06</v>
      </c>
      <c r="G227" s="19" t="str">
        <f t="shared" ca="1" si="35"/>
        <v>15:16</v>
      </c>
      <c r="H227" s="19">
        <f t="shared" ca="1" si="36"/>
        <v>0.25694444444444453</v>
      </c>
      <c r="I227" s="21" t="str">
        <f t="shared" ca="1" si="37"/>
        <v>Dinheiro</v>
      </c>
      <c r="J227" s="16">
        <f t="shared" ca="1" si="38"/>
        <v>123.33333333333337</v>
      </c>
      <c r="K227" s="21" t="str">
        <f t="shared" ca="1" si="39"/>
        <v>A3</v>
      </c>
      <c r="L227" s="21" t="s">
        <v>18</v>
      </c>
    </row>
    <row r="228" spans="2:12" x14ac:dyDescent="0.3">
      <c r="B228" s="21">
        <f t="shared" si="30"/>
        <v>221</v>
      </c>
      <c r="C228" s="11">
        <f t="shared" ca="1" si="31"/>
        <v>44351</v>
      </c>
      <c r="D228" s="21" t="str">
        <f t="shared" ca="1" si="32"/>
        <v>CARRO PEQUENO</v>
      </c>
      <c r="E228" s="21" t="str">
        <f t="shared" ca="1" si="33"/>
        <v>FZBF-3527</v>
      </c>
      <c r="F228" s="19" t="str">
        <f t="shared" ca="1" si="34"/>
        <v>09:51</v>
      </c>
      <c r="G228" s="19" t="str">
        <f t="shared" ca="1" si="35"/>
        <v>12:20</v>
      </c>
      <c r="H228" s="19">
        <f t="shared" ca="1" si="36"/>
        <v>0.1034722222222223</v>
      </c>
      <c r="I228" s="21" t="str">
        <f t="shared" ca="1" si="37"/>
        <v>Dinheiro</v>
      </c>
      <c r="J228" s="16">
        <f t="shared" ca="1" si="38"/>
        <v>29.800000000000022</v>
      </c>
      <c r="K228" s="21" t="str">
        <f t="shared" ca="1" si="39"/>
        <v>B4</v>
      </c>
      <c r="L228" s="21" t="s">
        <v>18</v>
      </c>
    </row>
    <row r="229" spans="2:12" x14ac:dyDescent="0.3">
      <c r="B229" s="21">
        <f t="shared" si="30"/>
        <v>222</v>
      </c>
      <c r="C229" s="11">
        <f t="shared" ca="1" si="31"/>
        <v>44367</v>
      </c>
      <c r="D229" s="21" t="str">
        <f t="shared" ca="1" si="32"/>
        <v>CARRO MÉDIO</v>
      </c>
      <c r="E229" s="21" t="str">
        <f t="shared" ca="1" si="33"/>
        <v>FXCM-8670</v>
      </c>
      <c r="F229" s="19" t="str">
        <f t="shared" ca="1" si="34"/>
        <v>08:41</v>
      </c>
      <c r="G229" s="19" t="str">
        <f t="shared" ca="1" si="35"/>
        <v>13:55</v>
      </c>
      <c r="H229" s="19">
        <f t="shared" ca="1" si="36"/>
        <v>0.2180555555555555</v>
      </c>
      <c r="I229" s="21" t="str">
        <f t="shared" ca="1" si="37"/>
        <v>Cartão</v>
      </c>
      <c r="J229" s="16">
        <f t="shared" ca="1" si="38"/>
        <v>78.499999999999986</v>
      </c>
      <c r="K229" s="21" t="str">
        <f t="shared" ca="1" si="39"/>
        <v>A5</v>
      </c>
      <c r="L229" s="21" t="s">
        <v>18</v>
      </c>
    </row>
    <row r="230" spans="2:12" x14ac:dyDescent="0.3">
      <c r="B230" s="21">
        <f t="shared" si="30"/>
        <v>223</v>
      </c>
      <c r="C230" s="11">
        <f t="shared" ca="1" si="31"/>
        <v>44426</v>
      </c>
      <c r="D230" s="21" t="str">
        <f t="shared" ca="1" si="32"/>
        <v>CARRO PEQUENO</v>
      </c>
      <c r="E230" s="21" t="str">
        <f t="shared" ca="1" si="33"/>
        <v>HWWH-6136</v>
      </c>
      <c r="F230" s="19" t="str">
        <f t="shared" ca="1" si="34"/>
        <v>08:46</v>
      </c>
      <c r="G230" s="19" t="str">
        <f t="shared" ca="1" si="35"/>
        <v>13:26</v>
      </c>
      <c r="H230" s="19">
        <f t="shared" ca="1" si="36"/>
        <v>0.19444444444444442</v>
      </c>
      <c r="I230" s="21" t="str">
        <f t="shared" ca="1" si="37"/>
        <v>Dinheiro</v>
      </c>
      <c r="J230" s="16">
        <f t="shared" ca="1" si="38"/>
        <v>55.999999999999993</v>
      </c>
      <c r="K230" s="21" t="str">
        <f t="shared" ca="1" si="39"/>
        <v>A3</v>
      </c>
      <c r="L230" s="21" t="s">
        <v>18</v>
      </c>
    </row>
    <row r="231" spans="2:12" x14ac:dyDescent="0.3">
      <c r="B231" s="21">
        <f t="shared" si="30"/>
        <v>224</v>
      </c>
      <c r="C231" s="11">
        <f t="shared" ca="1" si="31"/>
        <v>44383</v>
      </c>
      <c r="D231" s="21" t="str">
        <f t="shared" ca="1" si="32"/>
        <v>CARRO MÉDIO</v>
      </c>
      <c r="E231" s="21" t="str">
        <f t="shared" ca="1" si="33"/>
        <v>KYVU-2160</v>
      </c>
      <c r="F231" s="19" t="str">
        <f t="shared" ca="1" si="34"/>
        <v>07:23</v>
      </c>
      <c r="G231" s="19" t="str">
        <f t="shared" ca="1" si="35"/>
        <v>12:59</v>
      </c>
      <c r="H231" s="19">
        <f t="shared" ca="1" si="36"/>
        <v>0.23333333333333328</v>
      </c>
      <c r="I231" s="21" t="str">
        <f t="shared" ca="1" si="37"/>
        <v>Dinheiro</v>
      </c>
      <c r="J231" s="16">
        <f t="shared" ca="1" si="38"/>
        <v>83.999999999999986</v>
      </c>
      <c r="K231" s="21" t="str">
        <f t="shared" ca="1" si="39"/>
        <v>A2</v>
      </c>
      <c r="L231" s="21" t="s">
        <v>18</v>
      </c>
    </row>
    <row r="232" spans="2:12" x14ac:dyDescent="0.3">
      <c r="B232" s="21">
        <f t="shared" si="30"/>
        <v>225</v>
      </c>
      <c r="C232" s="11">
        <f t="shared" ca="1" si="31"/>
        <v>44435</v>
      </c>
      <c r="D232" s="21" t="str">
        <f t="shared" ca="1" si="32"/>
        <v>CARRO PEQUENO</v>
      </c>
      <c r="E232" s="21" t="str">
        <f t="shared" ca="1" si="33"/>
        <v>GJSN-1812</v>
      </c>
      <c r="F232" s="19" t="str">
        <f t="shared" ca="1" si="34"/>
        <v>09:03</v>
      </c>
      <c r="G232" s="19" t="str">
        <f t="shared" ca="1" si="35"/>
        <v>15:49</v>
      </c>
      <c r="H232" s="19">
        <f t="shared" ca="1" si="36"/>
        <v>0.28194444444444439</v>
      </c>
      <c r="I232" s="21" t="str">
        <f t="shared" ca="1" si="37"/>
        <v>Dinheiro</v>
      </c>
      <c r="J232" s="16">
        <f t="shared" ca="1" si="38"/>
        <v>81.199999999999989</v>
      </c>
      <c r="K232" s="21" t="str">
        <f t="shared" ca="1" si="39"/>
        <v>C5</v>
      </c>
      <c r="L232" s="21" t="s">
        <v>18</v>
      </c>
    </row>
    <row r="233" spans="2:12" x14ac:dyDescent="0.3">
      <c r="B233" s="21">
        <f t="shared" si="30"/>
        <v>226</v>
      </c>
      <c r="C233" s="11">
        <f t="shared" ca="1" si="31"/>
        <v>44456</v>
      </c>
      <c r="D233" s="21" t="str">
        <f t="shared" ca="1" si="32"/>
        <v>CARRO GRANDE</v>
      </c>
      <c r="E233" s="21" t="str">
        <f t="shared" ca="1" si="33"/>
        <v>ELLI-2346</v>
      </c>
      <c r="F233" s="19" t="str">
        <f t="shared" ca="1" si="34"/>
        <v>08:50</v>
      </c>
      <c r="G233" s="19" t="str">
        <f t="shared" ca="1" si="35"/>
        <v>13:49</v>
      </c>
      <c r="H233" s="19">
        <f t="shared" ca="1" si="36"/>
        <v>0.20763888888888882</v>
      </c>
      <c r="I233" s="21" t="str">
        <f t="shared" ca="1" si="37"/>
        <v>Cartão</v>
      </c>
      <c r="J233" s="16">
        <f t="shared" ca="1" si="38"/>
        <v>99.666666666666629</v>
      </c>
      <c r="K233" s="21" t="str">
        <f t="shared" ca="1" si="39"/>
        <v>A5</v>
      </c>
      <c r="L233" s="21" t="s">
        <v>18</v>
      </c>
    </row>
    <row r="234" spans="2:12" x14ac:dyDescent="0.3">
      <c r="B234" s="21">
        <f t="shared" si="30"/>
        <v>227</v>
      </c>
      <c r="C234" s="11">
        <f t="shared" ca="1" si="31"/>
        <v>44348</v>
      </c>
      <c r="D234" s="21" t="str">
        <f t="shared" ca="1" si="32"/>
        <v>CARRO PEQUENO</v>
      </c>
      <c r="E234" s="21" t="str">
        <f t="shared" ca="1" si="33"/>
        <v>FCVH-1178</v>
      </c>
      <c r="F234" s="19" t="str">
        <f t="shared" ca="1" si="34"/>
        <v>08:05</v>
      </c>
      <c r="G234" s="19" t="str">
        <f t="shared" ca="1" si="35"/>
        <v>14:44</v>
      </c>
      <c r="H234" s="19">
        <f t="shared" ca="1" si="36"/>
        <v>0.27708333333333324</v>
      </c>
      <c r="I234" s="21" t="str">
        <f t="shared" ca="1" si="37"/>
        <v>Cartão</v>
      </c>
      <c r="J234" s="16">
        <f t="shared" ca="1" si="38"/>
        <v>79.799999999999969</v>
      </c>
      <c r="K234" s="21" t="str">
        <f t="shared" ca="1" si="39"/>
        <v>C1</v>
      </c>
      <c r="L234" s="21" t="s">
        <v>18</v>
      </c>
    </row>
    <row r="235" spans="2:12" x14ac:dyDescent="0.3">
      <c r="B235" s="21">
        <f t="shared" si="30"/>
        <v>228</v>
      </c>
      <c r="C235" s="11">
        <f t="shared" ca="1" si="31"/>
        <v>44388</v>
      </c>
      <c r="D235" s="21" t="str">
        <f t="shared" ca="1" si="32"/>
        <v>MOTO</v>
      </c>
      <c r="E235" s="21" t="str">
        <f t="shared" ca="1" si="33"/>
        <v>SSOW-4269</v>
      </c>
      <c r="F235" s="19" t="str">
        <f t="shared" ca="1" si="34"/>
        <v>08:47</v>
      </c>
      <c r="G235" s="19" t="str">
        <f t="shared" ca="1" si="35"/>
        <v>15:41</v>
      </c>
      <c r="H235" s="19">
        <f t="shared" ca="1" si="36"/>
        <v>0.28750000000000003</v>
      </c>
      <c r="I235" s="21" t="str">
        <f t="shared" ca="1" si="37"/>
        <v>Cartão</v>
      </c>
      <c r="J235" s="16">
        <f t="shared" ca="1" si="38"/>
        <v>62.1</v>
      </c>
      <c r="K235" s="21" t="str">
        <f t="shared" ca="1" si="39"/>
        <v>C1</v>
      </c>
      <c r="L235" s="21" t="s">
        <v>18</v>
      </c>
    </row>
    <row r="236" spans="2:12" x14ac:dyDescent="0.3">
      <c r="B236" s="21">
        <f t="shared" si="30"/>
        <v>229</v>
      </c>
      <c r="C236" s="11">
        <f t="shared" ca="1" si="31"/>
        <v>44434</v>
      </c>
      <c r="D236" s="21" t="str">
        <f t="shared" ca="1" si="32"/>
        <v>MOTO</v>
      </c>
      <c r="E236" s="21" t="str">
        <f t="shared" ca="1" si="33"/>
        <v>GGDP-1134</v>
      </c>
      <c r="F236" s="19" t="str">
        <f t="shared" ca="1" si="34"/>
        <v>07:18</v>
      </c>
      <c r="G236" s="19" t="str">
        <f t="shared" ca="1" si="35"/>
        <v>13:03</v>
      </c>
      <c r="H236" s="19">
        <f t="shared" ca="1" si="36"/>
        <v>0.23958333333333343</v>
      </c>
      <c r="I236" s="21" t="str">
        <f t="shared" ca="1" si="37"/>
        <v>Cartão</v>
      </c>
      <c r="J236" s="16">
        <f t="shared" ca="1" si="38"/>
        <v>51.750000000000014</v>
      </c>
      <c r="K236" s="21" t="str">
        <f t="shared" ca="1" si="39"/>
        <v>B5</v>
      </c>
      <c r="L236" s="21" t="s">
        <v>18</v>
      </c>
    </row>
    <row r="237" spans="2:12" x14ac:dyDescent="0.3">
      <c r="B237" s="21">
        <f t="shared" si="30"/>
        <v>230</v>
      </c>
      <c r="C237" s="11">
        <f t="shared" ca="1" si="31"/>
        <v>44402</v>
      </c>
      <c r="D237" s="21" t="str">
        <f t="shared" ca="1" si="32"/>
        <v>CARRO GRANDE</v>
      </c>
      <c r="E237" s="21" t="str">
        <f t="shared" ca="1" si="33"/>
        <v>RVGA-9385</v>
      </c>
      <c r="F237" s="19" t="str">
        <f t="shared" ca="1" si="34"/>
        <v>09:38</v>
      </c>
      <c r="G237" s="19" t="str">
        <f t="shared" ca="1" si="35"/>
        <v>12:43</v>
      </c>
      <c r="H237" s="19">
        <f t="shared" ca="1" si="36"/>
        <v>0.12847222222222227</v>
      </c>
      <c r="I237" s="21" t="str">
        <f t="shared" ca="1" si="37"/>
        <v>Cartão</v>
      </c>
      <c r="J237" s="16">
        <f t="shared" ca="1" si="38"/>
        <v>61.666666666666686</v>
      </c>
      <c r="K237" s="21" t="str">
        <f t="shared" ca="1" si="39"/>
        <v>A4</v>
      </c>
      <c r="L237" s="21" t="s">
        <v>18</v>
      </c>
    </row>
    <row r="238" spans="2:12" x14ac:dyDescent="0.3">
      <c r="B238" s="21">
        <f t="shared" si="30"/>
        <v>231</v>
      </c>
      <c r="C238" s="11">
        <f t="shared" ca="1" si="31"/>
        <v>44374</v>
      </c>
      <c r="D238" s="21" t="str">
        <f t="shared" ca="1" si="32"/>
        <v>MOTO</v>
      </c>
      <c r="E238" s="21" t="str">
        <f t="shared" ca="1" si="33"/>
        <v>TGAP-4045</v>
      </c>
      <c r="F238" s="19" t="str">
        <f t="shared" ca="1" si="34"/>
        <v>11:45</v>
      </c>
      <c r="G238" s="19" t="str">
        <f t="shared" ca="1" si="35"/>
        <v>12:05</v>
      </c>
      <c r="H238" s="19">
        <f t="shared" ca="1" si="36"/>
        <v>1.3888888888888895E-2</v>
      </c>
      <c r="I238" s="21" t="str">
        <f t="shared" ca="1" si="37"/>
        <v>Dinheiro</v>
      </c>
      <c r="J238" s="16">
        <f t="shared" ca="1" si="38"/>
        <v>3.0000000000000013</v>
      </c>
      <c r="K238" s="21" t="str">
        <f t="shared" ca="1" si="39"/>
        <v>A3</v>
      </c>
      <c r="L238" s="21" t="s">
        <v>18</v>
      </c>
    </row>
    <row r="239" spans="2:12" x14ac:dyDescent="0.3">
      <c r="B239" s="21">
        <f t="shared" si="30"/>
        <v>232</v>
      </c>
      <c r="C239" s="11">
        <f t="shared" ca="1" si="31"/>
        <v>44442</v>
      </c>
      <c r="D239" s="21" t="str">
        <f t="shared" ca="1" si="32"/>
        <v>CARRO PEQUENO</v>
      </c>
      <c r="E239" s="21" t="str">
        <f t="shared" ca="1" si="33"/>
        <v>MEMX-8457</v>
      </c>
      <c r="F239" s="19" t="str">
        <f t="shared" ca="1" si="34"/>
        <v>11:07</v>
      </c>
      <c r="G239" s="19" t="str">
        <f t="shared" ca="1" si="35"/>
        <v>12:12</v>
      </c>
      <c r="H239" s="19">
        <f t="shared" ca="1" si="36"/>
        <v>4.513888888888884E-2</v>
      </c>
      <c r="I239" s="21" t="str">
        <f t="shared" ca="1" si="37"/>
        <v>Dinheiro</v>
      </c>
      <c r="J239" s="16">
        <f t="shared" ca="1" si="38"/>
        <v>12.999999999999986</v>
      </c>
      <c r="K239" s="21" t="str">
        <f t="shared" ca="1" si="39"/>
        <v>B4</v>
      </c>
      <c r="L239" s="21" t="s">
        <v>18</v>
      </c>
    </row>
    <row r="240" spans="2:12" x14ac:dyDescent="0.3">
      <c r="B240" s="21">
        <f t="shared" si="30"/>
        <v>233</v>
      </c>
      <c r="C240" s="11">
        <f t="shared" ca="1" si="31"/>
        <v>44452</v>
      </c>
      <c r="D240" s="21" t="str">
        <f t="shared" ca="1" si="32"/>
        <v>MOTO</v>
      </c>
      <c r="E240" s="21" t="str">
        <f t="shared" ca="1" si="33"/>
        <v>DEDV-4994</v>
      </c>
      <c r="F240" s="19" t="str">
        <f t="shared" ca="1" si="34"/>
        <v>09:06</v>
      </c>
      <c r="G240" s="19" t="str">
        <f t="shared" ca="1" si="35"/>
        <v>15:05</v>
      </c>
      <c r="H240" s="19">
        <f t="shared" ca="1" si="36"/>
        <v>0.24930555555555556</v>
      </c>
      <c r="I240" s="21" t="str">
        <f t="shared" ca="1" si="37"/>
        <v>Dinheiro</v>
      </c>
      <c r="J240" s="16">
        <f t="shared" ca="1" si="38"/>
        <v>53.85</v>
      </c>
      <c r="K240" s="21" t="str">
        <f t="shared" ca="1" si="39"/>
        <v>B4</v>
      </c>
      <c r="L240" s="21" t="s">
        <v>18</v>
      </c>
    </row>
    <row r="241" spans="2:12" x14ac:dyDescent="0.3">
      <c r="B241" s="21">
        <f t="shared" si="30"/>
        <v>234</v>
      </c>
      <c r="C241" s="11">
        <f t="shared" ca="1" si="31"/>
        <v>44434</v>
      </c>
      <c r="D241" s="21" t="str">
        <f t="shared" ca="1" si="32"/>
        <v>CARRO PEQUENO</v>
      </c>
      <c r="E241" s="21" t="str">
        <f t="shared" ca="1" si="33"/>
        <v>OTGM-7577</v>
      </c>
      <c r="F241" s="19" t="str">
        <f t="shared" ca="1" si="34"/>
        <v>10:31</v>
      </c>
      <c r="G241" s="19" t="str">
        <f t="shared" ca="1" si="35"/>
        <v>14:16</v>
      </c>
      <c r="H241" s="19">
        <f t="shared" ca="1" si="36"/>
        <v>0.15624999999999994</v>
      </c>
      <c r="I241" s="21" t="str">
        <f t="shared" ca="1" si="37"/>
        <v>Dinheiro</v>
      </c>
      <c r="J241" s="16">
        <f t="shared" ca="1" si="38"/>
        <v>44.999999999999986</v>
      </c>
      <c r="K241" s="21" t="str">
        <f t="shared" ca="1" si="39"/>
        <v>C1</v>
      </c>
      <c r="L241" s="21" t="s">
        <v>18</v>
      </c>
    </row>
    <row r="242" spans="2:12" x14ac:dyDescent="0.3">
      <c r="B242" s="21">
        <f t="shared" si="30"/>
        <v>235</v>
      </c>
      <c r="C242" s="11">
        <f t="shared" ca="1" si="31"/>
        <v>44418</v>
      </c>
      <c r="D242" s="21" t="str">
        <f t="shared" ca="1" si="32"/>
        <v>CARRO MÉDIO</v>
      </c>
      <c r="E242" s="21" t="str">
        <f t="shared" ca="1" si="33"/>
        <v>RBNC-2010</v>
      </c>
      <c r="F242" s="19" t="str">
        <f t="shared" ca="1" si="34"/>
        <v>11:25</v>
      </c>
      <c r="G242" s="19" t="str">
        <f t="shared" ca="1" si="35"/>
        <v>14:52</v>
      </c>
      <c r="H242" s="19">
        <f t="shared" ca="1" si="36"/>
        <v>0.14375000000000004</v>
      </c>
      <c r="I242" s="21" t="str">
        <f t="shared" ca="1" si="37"/>
        <v>Dinheiro</v>
      </c>
      <c r="J242" s="16">
        <f t="shared" ca="1" si="38"/>
        <v>51.750000000000014</v>
      </c>
      <c r="K242" s="21" t="str">
        <f t="shared" ca="1" si="39"/>
        <v>C1</v>
      </c>
      <c r="L242" s="21" t="s">
        <v>18</v>
      </c>
    </row>
    <row r="243" spans="2:12" x14ac:dyDescent="0.3">
      <c r="B243" s="21">
        <f t="shared" si="30"/>
        <v>236</v>
      </c>
      <c r="C243" s="11">
        <f t="shared" ca="1" si="31"/>
        <v>44439</v>
      </c>
      <c r="D243" s="21" t="str">
        <f t="shared" ca="1" si="32"/>
        <v>CARRO MÉDIO</v>
      </c>
      <c r="E243" s="21" t="str">
        <f t="shared" ca="1" si="33"/>
        <v>APCO-7464</v>
      </c>
      <c r="F243" s="19" t="str">
        <f t="shared" ca="1" si="34"/>
        <v>08:43</v>
      </c>
      <c r="G243" s="19" t="str">
        <f t="shared" ca="1" si="35"/>
        <v>15:07</v>
      </c>
      <c r="H243" s="19">
        <f t="shared" ca="1" si="36"/>
        <v>0.26666666666666666</v>
      </c>
      <c r="I243" s="21" t="str">
        <f t="shared" ca="1" si="37"/>
        <v>Dinheiro</v>
      </c>
      <c r="J243" s="16">
        <f t="shared" ca="1" si="38"/>
        <v>96</v>
      </c>
      <c r="K243" s="21" t="str">
        <f t="shared" ca="1" si="39"/>
        <v>C3</v>
      </c>
      <c r="L243" s="21" t="s">
        <v>18</v>
      </c>
    </row>
    <row r="244" spans="2:12" x14ac:dyDescent="0.3">
      <c r="B244" s="21">
        <f t="shared" si="30"/>
        <v>237</v>
      </c>
      <c r="C244" s="11">
        <f t="shared" ca="1" si="31"/>
        <v>44366</v>
      </c>
      <c r="D244" s="21" t="str">
        <f t="shared" ca="1" si="32"/>
        <v>MOTO</v>
      </c>
      <c r="E244" s="21" t="str">
        <f t="shared" ca="1" si="33"/>
        <v>OUCV-9184</v>
      </c>
      <c r="F244" s="19" t="str">
        <f t="shared" ca="1" si="34"/>
        <v>10:26</v>
      </c>
      <c r="G244" s="19" t="str">
        <f t="shared" ca="1" si="35"/>
        <v>13:02</v>
      </c>
      <c r="H244" s="19">
        <f t="shared" ca="1" si="36"/>
        <v>0.10833333333333328</v>
      </c>
      <c r="I244" s="21" t="str">
        <f t="shared" ca="1" si="37"/>
        <v>Cartão</v>
      </c>
      <c r="J244" s="16">
        <f t="shared" ca="1" si="38"/>
        <v>23.399999999999988</v>
      </c>
      <c r="K244" s="21" t="str">
        <f t="shared" ca="1" si="39"/>
        <v>B5</v>
      </c>
      <c r="L244" s="21" t="s">
        <v>18</v>
      </c>
    </row>
    <row r="245" spans="2:12" x14ac:dyDescent="0.3">
      <c r="B245" s="21">
        <f t="shared" si="30"/>
        <v>238</v>
      </c>
      <c r="C245" s="11">
        <f t="shared" ca="1" si="31"/>
        <v>44425</v>
      </c>
      <c r="D245" s="21" t="str">
        <f t="shared" ca="1" si="32"/>
        <v>CARRO MÉDIO</v>
      </c>
      <c r="E245" s="21" t="str">
        <f t="shared" ca="1" si="33"/>
        <v>ZJEY-4669</v>
      </c>
      <c r="F245" s="19" t="str">
        <f t="shared" ca="1" si="34"/>
        <v>07:01</v>
      </c>
      <c r="G245" s="19" t="str">
        <f t="shared" ca="1" si="35"/>
        <v>14:36</v>
      </c>
      <c r="H245" s="19">
        <f t="shared" ca="1" si="36"/>
        <v>0.31597222222222215</v>
      </c>
      <c r="I245" s="21" t="str">
        <f t="shared" ca="1" si="37"/>
        <v>Dinheiro</v>
      </c>
      <c r="J245" s="16">
        <f t="shared" ca="1" si="38"/>
        <v>113.74999999999999</v>
      </c>
      <c r="K245" s="21" t="str">
        <f t="shared" ca="1" si="39"/>
        <v>C2</v>
      </c>
      <c r="L245" s="21" t="s">
        <v>18</v>
      </c>
    </row>
    <row r="246" spans="2:12" x14ac:dyDescent="0.3">
      <c r="B246" s="21">
        <f t="shared" si="30"/>
        <v>239</v>
      </c>
      <c r="C246" s="11">
        <f t="shared" ca="1" si="31"/>
        <v>44467</v>
      </c>
      <c r="D246" s="21" t="str">
        <f t="shared" ca="1" si="32"/>
        <v>CARRO MÉDIO</v>
      </c>
      <c r="E246" s="21" t="str">
        <f t="shared" ca="1" si="33"/>
        <v>RHWU-9415</v>
      </c>
      <c r="F246" s="19" t="str">
        <f t="shared" ca="1" si="34"/>
        <v>09:39</v>
      </c>
      <c r="G246" s="19" t="str">
        <f t="shared" ca="1" si="35"/>
        <v>12:52</v>
      </c>
      <c r="H246" s="19">
        <f t="shared" ca="1" si="36"/>
        <v>0.13402777777777775</v>
      </c>
      <c r="I246" s="21" t="str">
        <f t="shared" ca="1" si="37"/>
        <v>Cartão</v>
      </c>
      <c r="J246" s="16">
        <f t="shared" ca="1" si="38"/>
        <v>48.249999999999986</v>
      </c>
      <c r="K246" s="21" t="str">
        <f t="shared" ca="1" si="39"/>
        <v>C4</v>
      </c>
      <c r="L246" s="21" t="s">
        <v>18</v>
      </c>
    </row>
    <row r="247" spans="2:12" x14ac:dyDescent="0.3">
      <c r="B247" s="21">
        <f t="shared" si="30"/>
        <v>240</v>
      </c>
      <c r="C247" s="11">
        <f t="shared" ca="1" si="31"/>
        <v>44408</v>
      </c>
      <c r="D247" s="21" t="str">
        <f t="shared" ca="1" si="32"/>
        <v>CARRO GRANDE</v>
      </c>
      <c r="E247" s="21" t="str">
        <f t="shared" ca="1" si="33"/>
        <v>MTIA-4250</v>
      </c>
      <c r="F247" s="19" t="str">
        <f t="shared" ca="1" si="34"/>
        <v>08:33</v>
      </c>
      <c r="G247" s="19" t="str">
        <f t="shared" ca="1" si="35"/>
        <v>12:48</v>
      </c>
      <c r="H247" s="19">
        <f t="shared" ca="1" si="36"/>
        <v>0.17708333333333331</v>
      </c>
      <c r="I247" s="21" t="str">
        <f t="shared" ca="1" si="37"/>
        <v>Dinheiro</v>
      </c>
      <c r="J247" s="16">
        <f t="shared" ca="1" si="38"/>
        <v>85</v>
      </c>
      <c r="K247" s="21" t="str">
        <f t="shared" ca="1" si="39"/>
        <v>B2</v>
      </c>
      <c r="L247" s="21" t="s">
        <v>18</v>
      </c>
    </row>
    <row r="248" spans="2:12" x14ac:dyDescent="0.3">
      <c r="B248" s="21">
        <f t="shared" si="30"/>
        <v>241</v>
      </c>
      <c r="C248" s="11">
        <f t="shared" ca="1" si="31"/>
        <v>44356</v>
      </c>
      <c r="D248" s="21" t="str">
        <f t="shared" ca="1" si="32"/>
        <v>MOTO</v>
      </c>
      <c r="E248" s="21" t="str">
        <f t="shared" ca="1" si="33"/>
        <v>NFWO-4482</v>
      </c>
      <c r="F248" s="19" t="str">
        <f t="shared" ca="1" si="34"/>
        <v>10:13</v>
      </c>
      <c r="G248" s="19" t="str">
        <f t="shared" ca="1" si="35"/>
        <v>14:55</v>
      </c>
      <c r="H248" s="19">
        <f t="shared" ca="1" si="36"/>
        <v>0.19583333333333336</v>
      </c>
      <c r="I248" s="21" t="str">
        <f t="shared" ca="1" si="37"/>
        <v>Dinheiro</v>
      </c>
      <c r="J248" s="16">
        <f t="shared" ca="1" si="38"/>
        <v>42.300000000000011</v>
      </c>
      <c r="K248" s="21" t="str">
        <f t="shared" ca="1" si="39"/>
        <v>A2</v>
      </c>
      <c r="L248" s="21" t="s">
        <v>18</v>
      </c>
    </row>
    <row r="249" spans="2:12" x14ac:dyDescent="0.3">
      <c r="B249" s="21">
        <f t="shared" si="30"/>
        <v>242</v>
      </c>
      <c r="C249" s="11">
        <f t="shared" ca="1" si="31"/>
        <v>44458</v>
      </c>
      <c r="D249" s="21" t="str">
        <f t="shared" ca="1" si="32"/>
        <v>CARRO MÉDIO</v>
      </c>
      <c r="E249" s="21" t="str">
        <f t="shared" ca="1" si="33"/>
        <v>LIOQ-8804</v>
      </c>
      <c r="F249" s="19" t="str">
        <f t="shared" ca="1" si="34"/>
        <v>08:05</v>
      </c>
      <c r="G249" s="19" t="str">
        <f t="shared" ca="1" si="35"/>
        <v>15:17</v>
      </c>
      <c r="H249" s="19">
        <f t="shared" ca="1" si="36"/>
        <v>0.29999999999999993</v>
      </c>
      <c r="I249" s="21" t="str">
        <f t="shared" ca="1" si="37"/>
        <v>Dinheiro</v>
      </c>
      <c r="J249" s="16">
        <f t="shared" ca="1" si="38"/>
        <v>107.99999999999997</v>
      </c>
      <c r="K249" s="21" t="str">
        <f t="shared" ca="1" si="39"/>
        <v>C2</v>
      </c>
      <c r="L249" s="21" t="s">
        <v>18</v>
      </c>
    </row>
    <row r="250" spans="2:12" x14ac:dyDescent="0.3">
      <c r="B250" s="21">
        <f t="shared" si="30"/>
        <v>243</v>
      </c>
      <c r="C250" s="11">
        <f t="shared" ca="1" si="31"/>
        <v>44362</v>
      </c>
      <c r="D250" s="21" t="str">
        <f t="shared" ca="1" si="32"/>
        <v>MOTO</v>
      </c>
      <c r="E250" s="21" t="str">
        <f t="shared" ca="1" si="33"/>
        <v>JBHH-5190</v>
      </c>
      <c r="F250" s="19" t="str">
        <f t="shared" ca="1" si="34"/>
        <v>07:26</v>
      </c>
      <c r="G250" s="19" t="str">
        <f t="shared" ca="1" si="35"/>
        <v>14:06</v>
      </c>
      <c r="H250" s="19">
        <f t="shared" ca="1" si="36"/>
        <v>0.27777777777777779</v>
      </c>
      <c r="I250" s="21" t="str">
        <f t="shared" ca="1" si="37"/>
        <v>Dinheiro</v>
      </c>
      <c r="J250" s="16">
        <f t="shared" ca="1" si="38"/>
        <v>60</v>
      </c>
      <c r="K250" s="21" t="str">
        <f t="shared" ca="1" si="39"/>
        <v>C1</v>
      </c>
      <c r="L250" s="21" t="s">
        <v>18</v>
      </c>
    </row>
    <row r="251" spans="2:12" x14ac:dyDescent="0.3">
      <c r="B251" s="21">
        <f t="shared" si="30"/>
        <v>244</v>
      </c>
      <c r="C251" s="11">
        <f t="shared" ca="1" si="31"/>
        <v>44461</v>
      </c>
      <c r="D251" s="21" t="str">
        <f t="shared" ca="1" si="32"/>
        <v>CARRO PEQUENO</v>
      </c>
      <c r="E251" s="21" t="str">
        <f t="shared" ca="1" si="33"/>
        <v>ZLET-3146</v>
      </c>
      <c r="F251" s="19" t="str">
        <f t="shared" ca="1" si="34"/>
        <v>11:39</v>
      </c>
      <c r="G251" s="19" t="str">
        <f t="shared" ca="1" si="35"/>
        <v>12:36</v>
      </c>
      <c r="H251" s="19">
        <f t="shared" ca="1" si="36"/>
        <v>3.9583333333333359E-2</v>
      </c>
      <c r="I251" s="21" t="str">
        <f t="shared" ca="1" si="37"/>
        <v>Cartão</v>
      </c>
      <c r="J251" s="16">
        <f t="shared" ca="1" si="38"/>
        <v>11.400000000000007</v>
      </c>
      <c r="K251" s="21" t="str">
        <f t="shared" ca="1" si="39"/>
        <v>C4</v>
      </c>
      <c r="L251" s="21" t="s">
        <v>18</v>
      </c>
    </row>
    <row r="252" spans="2:12" x14ac:dyDescent="0.3">
      <c r="B252" s="21">
        <f t="shared" si="30"/>
        <v>245</v>
      </c>
      <c r="C252" s="11">
        <f t="shared" ca="1" si="31"/>
        <v>44365</v>
      </c>
      <c r="D252" s="21" t="str">
        <f t="shared" ca="1" si="32"/>
        <v>CARRO PEQUENO</v>
      </c>
      <c r="E252" s="21" t="str">
        <f t="shared" ca="1" si="33"/>
        <v>RNZS-6372</v>
      </c>
      <c r="F252" s="19" t="str">
        <f t="shared" ca="1" si="34"/>
        <v>08:27</v>
      </c>
      <c r="G252" s="19" t="str">
        <f t="shared" ca="1" si="35"/>
        <v>14:40</v>
      </c>
      <c r="H252" s="19">
        <f t="shared" ca="1" si="36"/>
        <v>0.25902777777777775</v>
      </c>
      <c r="I252" s="21" t="str">
        <f t="shared" ca="1" si="37"/>
        <v>Cartão</v>
      </c>
      <c r="J252" s="16">
        <f t="shared" ca="1" si="38"/>
        <v>74.599999999999994</v>
      </c>
      <c r="K252" s="21" t="str">
        <f t="shared" ca="1" si="39"/>
        <v>B5</v>
      </c>
      <c r="L252" s="21" t="s">
        <v>18</v>
      </c>
    </row>
    <row r="253" spans="2:12" x14ac:dyDescent="0.3">
      <c r="B253" s="21">
        <f t="shared" si="30"/>
        <v>246</v>
      </c>
      <c r="C253" s="11">
        <f t="shared" ca="1" si="31"/>
        <v>44394</v>
      </c>
      <c r="D253" s="21" t="str">
        <f t="shared" ca="1" si="32"/>
        <v>CARRO GRANDE</v>
      </c>
      <c r="E253" s="21" t="str">
        <f t="shared" ca="1" si="33"/>
        <v>ZDJP-9477</v>
      </c>
      <c r="F253" s="19" t="str">
        <f t="shared" ca="1" si="34"/>
        <v>09:15</v>
      </c>
      <c r="G253" s="19" t="str">
        <f t="shared" ca="1" si="35"/>
        <v>13:37</v>
      </c>
      <c r="H253" s="19">
        <f t="shared" ca="1" si="36"/>
        <v>0.18194444444444441</v>
      </c>
      <c r="I253" s="21" t="str">
        <f t="shared" ca="1" si="37"/>
        <v>Dinheiro</v>
      </c>
      <c r="J253" s="16">
        <f t="shared" ca="1" si="38"/>
        <v>87.333333333333314</v>
      </c>
      <c r="K253" s="21" t="str">
        <f t="shared" ca="1" si="39"/>
        <v>C5</v>
      </c>
      <c r="L253" s="21" t="s">
        <v>18</v>
      </c>
    </row>
    <row r="254" spans="2:12" x14ac:dyDescent="0.3">
      <c r="B254" s="21">
        <f t="shared" si="30"/>
        <v>247</v>
      </c>
      <c r="C254" s="11">
        <f t="shared" ca="1" si="31"/>
        <v>44405</v>
      </c>
      <c r="D254" s="21" t="str">
        <f t="shared" ca="1" si="32"/>
        <v>CARRO MÉDIO</v>
      </c>
      <c r="E254" s="21" t="str">
        <f t="shared" ca="1" si="33"/>
        <v>YJWR-6033</v>
      </c>
      <c r="F254" s="19" t="str">
        <f t="shared" ca="1" si="34"/>
        <v>08:51</v>
      </c>
      <c r="G254" s="19" t="str">
        <f t="shared" ca="1" si="35"/>
        <v>15:37</v>
      </c>
      <c r="H254" s="19">
        <f t="shared" ca="1" si="36"/>
        <v>0.2819444444444445</v>
      </c>
      <c r="I254" s="21" t="str">
        <f t="shared" ca="1" si="37"/>
        <v>Dinheiro</v>
      </c>
      <c r="J254" s="16">
        <f t="shared" ca="1" si="38"/>
        <v>101.50000000000001</v>
      </c>
      <c r="K254" s="21" t="str">
        <f t="shared" ca="1" si="39"/>
        <v>A2</v>
      </c>
      <c r="L254" s="21" t="s">
        <v>18</v>
      </c>
    </row>
    <row r="255" spans="2:12" x14ac:dyDescent="0.3">
      <c r="B255" s="21">
        <f t="shared" si="30"/>
        <v>248</v>
      </c>
      <c r="C255" s="11">
        <f t="shared" ca="1" si="31"/>
        <v>44348</v>
      </c>
      <c r="D255" s="21" t="str">
        <f t="shared" ca="1" si="32"/>
        <v>CARRO PEQUENO</v>
      </c>
      <c r="E255" s="21" t="str">
        <f t="shared" ca="1" si="33"/>
        <v>XOKF-5641</v>
      </c>
      <c r="F255" s="19" t="str">
        <f t="shared" ca="1" si="34"/>
        <v>11:34</v>
      </c>
      <c r="G255" s="19" t="str">
        <f t="shared" ca="1" si="35"/>
        <v>12:22</v>
      </c>
      <c r="H255" s="19">
        <f t="shared" ca="1" si="36"/>
        <v>3.3333333333333381E-2</v>
      </c>
      <c r="I255" s="21" t="str">
        <f t="shared" ca="1" si="37"/>
        <v>Cartão</v>
      </c>
      <c r="J255" s="16">
        <f t="shared" ca="1" si="38"/>
        <v>9.6000000000000139</v>
      </c>
      <c r="K255" s="21" t="str">
        <f t="shared" ca="1" si="39"/>
        <v>C2</v>
      </c>
      <c r="L255" s="21" t="s">
        <v>18</v>
      </c>
    </row>
    <row r="256" spans="2:12" x14ac:dyDescent="0.3">
      <c r="B256" s="21">
        <f t="shared" si="30"/>
        <v>249</v>
      </c>
      <c r="C256" s="11">
        <f t="shared" ca="1" si="31"/>
        <v>44441</v>
      </c>
      <c r="D256" s="21" t="str">
        <f t="shared" ca="1" si="32"/>
        <v>CARRO MÉDIO</v>
      </c>
      <c r="E256" s="21" t="str">
        <f t="shared" ca="1" si="33"/>
        <v>UWCC-7823</v>
      </c>
      <c r="F256" s="19" t="str">
        <f t="shared" ca="1" si="34"/>
        <v>11:46</v>
      </c>
      <c r="G256" s="19" t="str">
        <f t="shared" ca="1" si="35"/>
        <v>15:50</v>
      </c>
      <c r="H256" s="19">
        <f t="shared" ca="1" si="36"/>
        <v>0.1694444444444444</v>
      </c>
      <c r="I256" s="21" t="str">
        <f t="shared" ca="1" si="37"/>
        <v>Cartão</v>
      </c>
      <c r="J256" s="16">
        <f t="shared" ca="1" si="38"/>
        <v>60.999999999999986</v>
      </c>
      <c r="K256" s="21" t="str">
        <f t="shared" ca="1" si="39"/>
        <v>B1</v>
      </c>
      <c r="L256" s="21" t="s">
        <v>18</v>
      </c>
    </row>
    <row r="257" spans="2:12" x14ac:dyDescent="0.3">
      <c r="B257" s="21">
        <f t="shared" si="30"/>
        <v>250</v>
      </c>
      <c r="C257" s="11">
        <f t="shared" ca="1" si="31"/>
        <v>44365</v>
      </c>
      <c r="D257" s="21" t="str">
        <f t="shared" ca="1" si="32"/>
        <v>CARRO GRANDE</v>
      </c>
      <c r="E257" s="21" t="str">
        <f t="shared" ca="1" si="33"/>
        <v>WNYB-3953</v>
      </c>
      <c r="F257" s="19" t="str">
        <f t="shared" ca="1" si="34"/>
        <v>08:07</v>
      </c>
      <c r="G257" s="19" t="str">
        <f t="shared" ca="1" si="35"/>
        <v>13:42</v>
      </c>
      <c r="H257" s="19">
        <f t="shared" ca="1" si="36"/>
        <v>0.23263888888888884</v>
      </c>
      <c r="I257" s="21" t="str">
        <f t="shared" ca="1" si="37"/>
        <v>Cartão</v>
      </c>
      <c r="J257" s="16">
        <f t="shared" ca="1" si="38"/>
        <v>111.66666666666664</v>
      </c>
      <c r="K257" s="21" t="str">
        <f t="shared" ca="1" si="39"/>
        <v>A3</v>
      </c>
      <c r="L257" s="21" t="s">
        <v>18</v>
      </c>
    </row>
    <row r="258" spans="2:12" x14ac:dyDescent="0.3">
      <c r="B258" s="21">
        <f t="shared" si="30"/>
        <v>251</v>
      </c>
      <c r="C258" s="11">
        <f t="shared" ca="1" si="31"/>
        <v>44363</v>
      </c>
      <c r="D258" s="21" t="str">
        <f t="shared" ca="1" si="32"/>
        <v>CARRO MÉDIO</v>
      </c>
      <c r="E258" s="21" t="str">
        <f t="shared" ca="1" si="33"/>
        <v>ZDZY-7112</v>
      </c>
      <c r="F258" s="19" t="str">
        <f t="shared" ca="1" si="34"/>
        <v>10:16</v>
      </c>
      <c r="G258" s="19" t="str">
        <f t="shared" ca="1" si="35"/>
        <v>15:55</v>
      </c>
      <c r="H258" s="19">
        <f t="shared" ca="1" si="36"/>
        <v>0.23541666666666661</v>
      </c>
      <c r="I258" s="21" t="str">
        <f t="shared" ca="1" si="37"/>
        <v>Dinheiro</v>
      </c>
      <c r="J258" s="16">
        <f t="shared" ca="1" si="38"/>
        <v>84.749999999999972</v>
      </c>
      <c r="K258" s="21" t="str">
        <f t="shared" ca="1" si="39"/>
        <v>C1</v>
      </c>
      <c r="L258" s="21" t="s">
        <v>18</v>
      </c>
    </row>
    <row r="259" spans="2:12" x14ac:dyDescent="0.3">
      <c r="B259" s="21">
        <f t="shared" si="30"/>
        <v>252</v>
      </c>
      <c r="C259" s="11">
        <f t="shared" ca="1" si="31"/>
        <v>44427</v>
      </c>
      <c r="D259" s="21" t="str">
        <f t="shared" ca="1" si="32"/>
        <v>CARRO MÉDIO</v>
      </c>
      <c r="E259" s="21" t="str">
        <f t="shared" ca="1" si="33"/>
        <v>GTZR-9200</v>
      </c>
      <c r="F259" s="19" t="str">
        <f t="shared" ca="1" si="34"/>
        <v>07:14</v>
      </c>
      <c r="G259" s="19" t="str">
        <f t="shared" ca="1" si="35"/>
        <v>14:14</v>
      </c>
      <c r="H259" s="19">
        <f t="shared" ca="1" si="36"/>
        <v>0.29166666666666669</v>
      </c>
      <c r="I259" s="21" t="str">
        <f t="shared" ca="1" si="37"/>
        <v>Dinheiro</v>
      </c>
      <c r="J259" s="16">
        <f t="shared" ca="1" si="38"/>
        <v>105</v>
      </c>
      <c r="K259" s="21" t="str">
        <f t="shared" ca="1" si="39"/>
        <v>A3</v>
      </c>
      <c r="L259" s="21" t="s">
        <v>18</v>
      </c>
    </row>
    <row r="260" spans="2:12" x14ac:dyDescent="0.3">
      <c r="B260" s="21">
        <f t="shared" si="30"/>
        <v>253</v>
      </c>
      <c r="C260" s="11">
        <f t="shared" ca="1" si="31"/>
        <v>44360</v>
      </c>
      <c r="D260" s="21" t="str">
        <f t="shared" ca="1" si="32"/>
        <v>CARRO GRANDE</v>
      </c>
      <c r="E260" s="21" t="str">
        <f t="shared" ca="1" si="33"/>
        <v>ITON-3100</v>
      </c>
      <c r="F260" s="19" t="str">
        <f t="shared" ca="1" si="34"/>
        <v>10:21</v>
      </c>
      <c r="G260" s="19" t="str">
        <f t="shared" ca="1" si="35"/>
        <v>15:46</v>
      </c>
      <c r="H260" s="19">
        <f t="shared" ca="1" si="36"/>
        <v>0.22569444444444448</v>
      </c>
      <c r="I260" s="21" t="str">
        <f t="shared" ca="1" si="37"/>
        <v>Dinheiro</v>
      </c>
      <c r="J260" s="16">
        <f t="shared" ca="1" si="38"/>
        <v>108.33333333333336</v>
      </c>
      <c r="K260" s="21" t="str">
        <f t="shared" ca="1" si="39"/>
        <v>A2</v>
      </c>
      <c r="L260" s="21" t="s">
        <v>18</v>
      </c>
    </row>
    <row r="261" spans="2:12" x14ac:dyDescent="0.3">
      <c r="D261" s="22"/>
      <c r="E261" s="22"/>
      <c r="F261" s="20"/>
      <c r="K261" s="22"/>
      <c r="L261" s="2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D2D6-342D-435A-AC6B-BF121AAE50B5}">
  <sheetPr codeName="PlanBD">
    <tabColor rgb="FF00B050"/>
  </sheetPr>
  <dimension ref="B1:L261"/>
  <sheetViews>
    <sheetView showGridLines="0"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4" sqref="G4"/>
    </sheetView>
  </sheetViews>
  <sheetFormatPr defaultRowHeight="14.4" x14ac:dyDescent="0.3"/>
  <cols>
    <col min="1" max="1" width="1.88671875" customWidth="1"/>
    <col min="2" max="5" width="18.77734375" style="8" customWidth="1"/>
    <col min="6" max="8" width="18.77734375" style="42" customWidth="1"/>
    <col min="9" max="9" width="18.77734375" style="8" customWidth="1"/>
    <col min="10" max="10" width="18.77734375" style="12" customWidth="1"/>
    <col min="11" max="12" width="18.77734375" style="8" customWidth="1"/>
  </cols>
  <sheetData>
    <row r="1" spans="2:12" ht="13.8" customHeight="1" x14ac:dyDescent="0.3">
      <c r="B1"/>
      <c r="C1"/>
      <c r="D1" s="5" t="s">
        <v>5</v>
      </c>
      <c r="E1" s="5" t="s">
        <v>6</v>
      </c>
      <c r="F1"/>
      <c r="G1"/>
      <c r="H1" s="6" t="s">
        <v>12</v>
      </c>
      <c r="I1" s="15" t="s">
        <v>11</v>
      </c>
      <c r="K1" s="6" t="s">
        <v>13</v>
      </c>
    </row>
    <row r="2" spans="2:12" ht="13.8" customHeight="1" x14ac:dyDescent="0.3">
      <c r="B2"/>
      <c r="C2"/>
      <c r="D2" s="3" t="s">
        <v>7</v>
      </c>
      <c r="E2" s="4">
        <v>20</v>
      </c>
      <c r="F2"/>
      <c r="G2"/>
      <c r="H2" s="3">
        <v>30</v>
      </c>
      <c r="I2" s="17">
        <v>0</v>
      </c>
      <c r="K2" s="7">
        <v>30</v>
      </c>
    </row>
    <row r="3" spans="2:12" ht="13.8" customHeight="1" x14ac:dyDescent="0.3">
      <c r="B3"/>
      <c r="C3"/>
      <c r="D3" s="3" t="s">
        <v>8</v>
      </c>
      <c r="E3" s="4">
        <v>15</v>
      </c>
      <c r="F3"/>
      <c r="G3"/>
      <c r="H3"/>
      <c r="I3"/>
      <c r="J3" s="8"/>
      <c r="K3"/>
      <c r="L3"/>
    </row>
    <row r="4" spans="2:12" ht="13.8" customHeight="1" x14ac:dyDescent="0.3">
      <c r="B4"/>
      <c r="C4"/>
      <c r="D4" s="3" t="s">
        <v>9</v>
      </c>
      <c r="E4" s="4">
        <v>12</v>
      </c>
      <c r="F4"/>
      <c r="G4" s="23"/>
      <c r="H4" s="8"/>
      <c r="J4" s="8"/>
    </row>
    <row r="5" spans="2:12" s="1" customFormat="1" ht="13.8" customHeight="1" x14ac:dyDescent="0.35">
      <c r="D5" s="3" t="s">
        <v>10</v>
      </c>
      <c r="E5" s="4">
        <v>9</v>
      </c>
      <c r="H5" s="13"/>
      <c r="I5" s="13"/>
      <c r="J5" s="13"/>
    </row>
    <row r="6" spans="2:12" x14ac:dyDescent="0.3">
      <c r="B6"/>
      <c r="C6"/>
      <c r="D6"/>
      <c r="E6"/>
      <c r="F6"/>
      <c r="G6"/>
      <c r="H6"/>
      <c r="I6"/>
      <c r="J6" s="8"/>
      <c r="K6"/>
      <c r="L6"/>
    </row>
    <row r="7" spans="2:12" ht="18" x14ac:dyDescent="0.35">
      <c r="B7" s="24" t="s">
        <v>0</v>
      </c>
      <c r="C7" s="24" t="s">
        <v>16</v>
      </c>
      <c r="D7" s="24" t="s">
        <v>5</v>
      </c>
      <c r="E7" s="24" t="s">
        <v>1</v>
      </c>
      <c r="F7" s="24" t="s">
        <v>2</v>
      </c>
      <c r="G7" s="24" t="s">
        <v>14</v>
      </c>
      <c r="H7" s="24" t="s">
        <v>15</v>
      </c>
      <c r="I7" s="24" t="s">
        <v>19</v>
      </c>
      <c r="J7" s="24" t="s">
        <v>6</v>
      </c>
      <c r="K7" s="24" t="s">
        <v>3</v>
      </c>
      <c r="L7" s="24" t="s">
        <v>4</v>
      </c>
    </row>
    <row r="8" spans="2:12" x14ac:dyDescent="0.3">
      <c r="B8" s="26">
        <v>1</v>
      </c>
      <c r="C8" s="25">
        <v>44368</v>
      </c>
      <c r="D8" s="26" t="s">
        <v>9</v>
      </c>
      <c r="E8" s="26" t="s">
        <v>21</v>
      </c>
      <c r="F8" s="43" t="s">
        <v>22</v>
      </c>
      <c r="G8" s="43" t="s">
        <v>23</v>
      </c>
      <c r="H8" s="43">
        <v>0.21736111111111106</v>
      </c>
      <c r="I8" s="26" t="s">
        <v>20</v>
      </c>
      <c r="J8" s="27">
        <v>62.59999999999998</v>
      </c>
      <c r="K8" s="26" t="s">
        <v>24</v>
      </c>
      <c r="L8" s="26" t="s">
        <v>18</v>
      </c>
    </row>
    <row r="9" spans="2:12" x14ac:dyDescent="0.3">
      <c r="B9" s="26">
        <v>2</v>
      </c>
      <c r="C9" s="25">
        <v>44373</v>
      </c>
      <c r="D9" s="26" t="s">
        <v>9</v>
      </c>
      <c r="E9" s="26" t="s">
        <v>25</v>
      </c>
      <c r="F9" s="43" t="s">
        <v>26</v>
      </c>
      <c r="G9" s="43" t="s">
        <v>27</v>
      </c>
      <c r="H9" s="43">
        <v>0.25486111111111104</v>
      </c>
      <c r="I9" s="26" t="s">
        <v>20</v>
      </c>
      <c r="J9" s="27">
        <v>73.399999999999977</v>
      </c>
      <c r="K9" s="26" t="s">
        <v>24</v>
      </c>
      <c r="L9" s="26" t="s">
        <v>18</v>
      </c>
    </row>
    <row r="10" spans="2:12" x14ac:dyDescent="0.3">
      <c r="B10" s="26">
        <v>3</v>
      </c>
      <c r="C10" s="25">
        <v>44366</v>
      </c>
      <c r="D10" s="26" t="s">
        <v>8</v>
      </c>
      <c r="E10" s="26" t="s">
        <v>28</v>
      </c>
      <c r="F10" s="43" t="s">
        <v>29</v>
      </c>
      <c r="G10" s="43" t="s">
        <v>30</v>
      </c>
      <c r="H10" s="43">
        <v>8.5416666666666696E-2</v>
      </c>
      <c r="I10" s="26" t="s">
        <v>31</v>
      </c>
      <c r="J10" s="27">
        <v>30.750000000000011</v>
      </c>
      <c r="K10" s="26" t="s">
        <v>24</v>
      </c>
      <c r="L10" s="26" t="s">
        <v>18</v>
      </c>
    </row>
    <row r="11" spans="2:12" x14ac:dyDescent="0.3">
      <c r="B11" s="26">
        <v>4</v>
      </c>
      <c r="C11" s="25">
        <v>44399</v>
      </c>
      <c r="D11" s="26" t="s">
        <v>10</v>
      </c>
      <c r="E11" s="26" t="s">
        <v>32</v>
      </c>
      <c r="F11" s="43" t="s">
        <v>33</v>
      </c>
      <c r="G11" s="43" t="s">
        <v>34</v>
      </c>
      <c r="H11" s="43">
        <v>0.27430555555555552</v>
      </c>
      <c r="I11" s="26" t="s">
        <v>31</v>
      </c>
      <c r="J11" s="27">
        <v>59.249999999999986</v>
      </c>
      <c r="K11" s="26" t="s">
        <v>35</v>
      </c>
      <c r="L11" s="26" t="s">
        <v>18</v>
      </c>
    </row>
    <row r="12" spans="2:12" x14ac:dyDescent="0.3">
      <c r="B12" s="26">
        <v>5</v>
      </c>
      <c r="C12" s="25">
        <v>44448</v>
      </c>
      <c r="D12" s="26" t="s">
        <v>8</v>
      </c>
      <c r="E12" s="26" t="s">
        <v>36</v>
      </c>
      <c r="F12" s="43" t="s">
        <v>37</v>
      </c>
      <c r="G12" s="43" t="s">
        <v>38</v>
      </c>
      <c r="H12" s="43">
        <v>8.333333333333337E-2</v>
      </c>
      <c r="I12" s="26" t="s">
        <v>31</v>
      </c>
      <c r="J12" s="27">
        <v>30.000000000000014</v>
      </c>
      <c r="K12" s="26" t="s">
        <v>17</v>
      </c>
      <c r="L12" s="26" t="s">
        <v>18</v>
      </c>
    </row>
    <row r="13" spans="2:12" x14ac:dyDescent="0.3">
      <c r="B13" s="26">
        <v>6</v>
      </c>
      <c r="C13" s="25">
        <v>44385</v>
      </c>
      <c r="D13" s="26" t="s">
        <v>9</v>
      </c>
      <c r="E13" s="26" t="s">
        <v>39</v>
      </c>
      <c r="F13" s="43" t="s">
        <v>40</v>
      </c>
      <c r="G13" s="43" t="s">
        <v>41</v>
      </c>
      <c r="H13" s="43">
        <v>4.0972222222222243E-2</v>
      </c>
      <c r="I13" s="26" t="s">
        <v>31</v>
      </c>
      <c r="J13" s="27">
        <v>11.800000000000006</v>
      </c>
      <c r="K13" s="26" t="s">
        <v>42</v>
      </c>
      <c r="L13" s="26" t="s">
        <v>18</v>
      </c>
    </row>
    <row r="14" spans="2:12" x14ac:dyDescent="0.3">
      <c r="B14" s="26">
        <v>7</v>
      </c>
      <c r="C14" s="25">
        <v>44420</v>
      </c>
      <c r="D14" s="26" t="s">
        <v>7</v>
      </c>
      <c r="E14" s="26" t="s">
        <v>43</v>
      </c>
      <c r="F14" s="43" t="s">
        <v>44</v>
      </c>
      <c r="G14" s="43" t="s">
        <v>45</v>
      </c>
      <c r="H14" s="43">
        <v>0.23680555555555555</v>
      </c>
      <c r="I14" s="26" t="s">
        <v>31</v>
      </c>
      <c r="J14" s="27">
        <v>113.66666666666667</v>
      </c>
      <c r="K14" s="26" t="s">
        <v>46</v>
      </c>
      <c r="L14" s="26" t="s">
        <v>18</v>
      </c>
    </row>
    <row r="15" spans="2:12" x14ac:dyDescent="0.3">
      <c r="B15" s="26">
        <v>8</v>
      </c>
      <c r="C15" s="25">
        <v>44350</v>
      </c>
      <c r="D15" s="26" t="s">
        <v>9</v>
      </c>
      <c r="E15" s="26" t="s">
        <v>47</v>
      </c>
      <c r="F15" s="43" t="s">
        <v>48</v>
      </c>
      <c r="G15" s="43" t="s">
        <v>34</v>
      </c>
      <c r="H15" s="43">
        <v>0.12499999999999994</v>
      </c>
      <c r="I15" s="26" t="s">
        <v>20</v>
      </c>
      <c r="J15" s="27">
        <v>35.999999999999986</v>
      </c>
      <c r="K15" s="26" t="s">
        <v>49</v>
      </c>
      <c r="L15" s="26" t="s">
        <v>18</v>
      </c>
    </row>
    <row r="16" spans="2:12" x14ac:dyDescent="0.3">
      <c r="B16" s="26">
        <v>9</v>
      </c>
      <c r="C16" s="25">
        <v>44385</v>
      </c>
      <c r="D16" s="26" t="s">
        <v>9</v>
      </c>
      <c r="E16" s="26" t="s">
        <v>50</v>
      </c>
      <c r="F16" s="43" t="s">
        <v>51</v>
      </c>
      <c r="G16" s="43" t="s">
        <v>52</v>
      </c>
      <c r="H16" s="43">
        <v>0.3215277777777778</v>
      </c>
      <c r="I16" s="26" t="s">
        <v>31</v>
      </c>
      <c r="J16" s="27">
        <v>92.6</v>
      </c>
      <c r="K16" s="26" t="s">
        <v>53</v>
      </c>
      <c r="L16" s="26" t="s">
        <v>18</v>
      </c>
    </row>
    <row r="17" spans="2:12" x14ac:dyDescent="0.3">
      <c r="B17" s="26">
        <v>10</v>
      </c>
      <c r="C17" s="25">
        <v>44457</v>
      </c>
      <c r="D17" s="26" t="s">
        <v>8</v>
      </c>
      <c r="E17" s="26" t="s">
        <v>54</v>
      </c>
      <c r="F17" s="43" t="s">
        <v>55</v>
      </c>
      <c r="G17" s="43" t="s">
        <v>56</v>
      </c>
      <c r="H17" s="43">
        <v>0.21805555555555556</v>
      </c>
      <c r="I17" s="26" t="s">
        <v>31</v>
      </c>
      <c r="J17" s="27">
        <v>78.5</v>
      </c>
      <c r="K17" s="26" t="s">
        <v>57</v>
      </c>
      <c r="L17" s="26" t="s">
        <v>18</v>
      </c>
    </row>
    <row r="18" spans="2:12" x14ac:dyDescent="0.3">
      <c r="B18" s="26">
        <v>11</v>
      </c>
      <c r="C18" s="25">
        <v>44386</v>
      </c>
      <c r="D18" s="26" t="s">
        <v>7</v>
      </c>
      <c r="E18" s="26" t="s">
        <v>58</v>
      </c>
      <c r="F18" s="43" t="s">
        <v>59</v>
      </c>
      <c r="G18" s="43" t="s">
        <v>60</v>
      </c>
      <c r="H18" s="43">
        <v>5.7638888888888962E-2</v>
      </c>
      <c r="I18" s="26" t="s">
        <v>31</v>
      </c>
      <c r="J18" s="27">
        <v>27.6666666666667</v>
      </c>
      <c r="K18" s="26" t="s">
        <v>53</v>
      </c>
      <c r="L18" s="26" t="s">
        <v>18</v>
      </c>
    </row>
    <row r="19" spans="2:12" x14ac:dyDescent="0.3">
      <c r="B19" s="26">
        <v>12</v>
      </c>
      <c r="C19" s="25">
        <v>44374</v>
      </c>
      <c r="D19" s="26" t="s">
        <v>8</v>
      </c>
      <c r="E19" s="26" t="s">
        <v>61</v>
      </c>
      <c r="F19" s="43" t="s">
        <v>62</v>
      </c>
      <c r="G19" s="43" t="s">
        <v>63</v>
      </c>
      <c r="H19" s="43">
        <v>0.19097222222222221</v>
      </c>
      <c r="I19" s="26" t="s">
        <v>31</v>
      </c>
      <c r="J19" s="27">
        <v>68.75</v>
      </c>
      <c r="K19" s="26" t="s">
        <v>64</v>
      </c>
      <c r="L19" s="26" t="s">
        <v>18</v>
      </c>
    </row>
    <row r="20" spans="2:12" x14ac:dyDescent="0.3">
      <c r="B20" s="26">
        <v>13</v>
      </c>
      <c r="C20" s="25">
        <v>44367</v>
      </c>
      <c r="D20" s="26" t="s">
        <v>7</v>
      </c>
      <c r="E20" s="26" t="s">
        <v>65</v>
      </c>
      <c r="F20" s="43" t="s">
        <v>66</v>
      </c>
      <c r="G20" s="43" t="s">
        <v>67</v>
      </c>
      <c r="H20" s="43">
        <v>0.10555555555555551</v>
      </c>
      <c r="I20" s="26" t="s">
        <v>31</v>
      </c>
      <c r="J20" s="27">
        <v>50.666666666666643</v>
      </c>
      <c r="K20" s="26" t="s">
        <v>35</v>
      </c>
      <c r="L20" s="26" t="s">
        <v>18</v>
      </c>
    </row>
    <row r="21" spans="2:12" x14ac:dyDescent="0.3">
      <c r="B21" s="26">
        <v>14</v>
      </c>
      <c r="C21" s="25">
        <v>44351</v>
      </c>
      <c r="D21" s="26" t="s">
        <v>7</v>
      </c>
      <c r="E21" s="26" t="s">
        <v>68</v>
      </c>
      <c r="F21" s="43" t="s">
        <v>69</v>
      </c>
      <c r="G21" s="43" t="s">
        <v>70</v>
      </c>
      <c r="H21" s="43">
        <v>0.26666666666666672</v>
      </c>
      <c r="I21" s="26" t="s">
        <v>31</v>
      </c>
      <c r="J21" s="27">
        <v>128.00000000000003</v>
      </c>
      <c r="K21" s="26" t="s">
        <v>53</v>
      </c>
      <c r="L21" s="26" t="s">
        <v>18</v>
      </c>
    </row>
    <row r="22" spans="2:12" x14ac:dyDescent="0.3">
      <c r="B22" s="26">
        <v>15</v>
      </c>
      <c r="C22" s="25">
        <v>44430</v>
      </c>
      <c r="D22" s="26" t="s">
        <v>10</v>
      </c>
      <c r="E22" s="26" t="s">
        <v>71</v>
      </c>
      <c r="F22" s="43" t="s">
        <v>72</v>
      </c>
      <c r="G22" s="43" t="s">
        <v>73</v>
      </c>
      <c r="H22" s="43">
        <v>0.23472222222222217</v>
      </c>
      <c r="I22" s="26" t="s">
        <v>20</v>
      </c>
      <c r="J22" s="27">
        <v>50.699999999999989</v>
      </c>
      <c r="K22" s="26" t="s">
        <v>24</v>
      </c>
      <c r="L22" s="26" t="s">
        <v>18</v>
      </c>
    </row>
    <row r="23" spans="2:12" x14ac:dyDescent="0.3">
      <c r="B23" s="26">
        <v>16</v>
      </c>
      <c r="C23" s="25">
        <v>44409</v>
      </c>
      <c r="D23" s="26" t="s">
        <v>8</v>
      </c>
      <c r="E23" s="26" t="s">
        <v>74</v>
      </c>
      <c r="F23" s="43" t="s">
        <v>75</v>
      </c>
      <c r="G23" s="43" t="s">
        <v>76</v>
      </c>
      <c r="H23" s="43">
        <v>0.14097222222222222</v>
      </c>
      <c r="I23" s="26" t="s">
        <v>20</v>
      </c>
      <c r="J23" s="27">
        <v>50.75</v>
      </c>
      <c r="K23" s="26" t="s">
        <v>77</v>
      </c>
      <c r="L23" s="26" t="s">
        <v>18</v>
      </c>
    </row>
    <row r="24" spans="2:12" x14ac:dyDescent="0.3">
      <c r="B24" s="26">
        <v>17</v>
      </c>
      <c r="C24" s="25">
        <v>44457</v>
      </c>
      <c r="D24" s="26" t="s">
        <v>9</v>
      </c>
      <c r="E24" s="26" t="s">
        <v>78</v>
      </c>
      <c r="F24" s="43" t="s">
        <v>79</v>
      </c>
      <c r="G24" s="43" t="s">
        <v>80</v>
      </c>
      <c r="H24" s="43">
        <v>0.21666666666666667</v>
      </c>
      <c r="I24" s="26" t="s">
        <v>20</v>
      </c>
      <c r="J24" s="27">
        <v>62.400000000000006</v>
      </c>
      <c r="K24" s="26" t="s">
        <v>49</v>
      </c>
      <c r="L24" s="26" t="s">
        <v>18</v>
      </c>
    </row>
    <row r="25" spans="2:12" x14ac:dyDescent="0.3">
      <c r="B25" s="26">
        <v>18</v>
      </c>
      <c r="C25" s="25">
        <v>44423</v>
      </c>
      <c r="D25" s="26" t="s">
        <v>9</v>
      </c>
      <c r="E25" s="26" t="s">
        <v>81</v>
      </c>
      <c r="F25" s="43" t="s">
        <v>82</v>
      </c>
      <c r="G25" s="43" t="s">
        <v>83</v>
      </c>
      <c r="H25" s="43">
        <v>0.29236111111111107</v>
      </c>
      <c r="I25" s="26" t="s">
        <v>31</v>
      </c>
      <c r="J25" s="27">
        <v>84.199999999999989</v>
      </c>
      <c r="K25" s="26" t="s">
        <v>35</v>
      </c>
      <c r="L25" s="26" t="s">
        <v>18</v>
      </c>
    </row>
    <row r="26" spans="2:12" x14ac:dyDescent="0.3">
      <c r="B26" s="26">
        <v>19</v>
      </c>
      <c r="C26" s="25">
        <v>44448</v>
      </c>
      <c r="D26" s="26" t="s">
        <v>8</v>
      </c>
      <c r="E26" s="26" t="s">
        <v>84</v>
      </c>
      <c r="F26" s="43" t="s">
        <v>85</v>
      </c>
      <c r="G26" s="43" t="s">
        <v>86</v>
      </c>
      <c r="H26" s="43">
        <v>0.18333333333333335</v>
      </c>
      <c r="I26" s="26" t="s">
        <v>31</v>
      </c>
      <c r="J26" s="27">
        <v>66</v>
      </c>
      <c r="K26" s="26" t="s">
        <v>77</v>
      </c>
      <c r="L26" s="26" t="s">
        <v>18</v>
      </c>
    </row>
    <row r="27" spans="2:12" x14ac:dyDescent="0.3">
      <c r="B27" s="26">
        <v>20</v>
      </c>
      <c r="C27" s="25">
        <v>44364</v>
      </c>
      <c r="D27" s="26" t="s">
        <v>10</v>
      </c>
      <c r="E27" s="26" t="s">
        <v>87</v>
      </c>
      <c r="F27" s="43" t="s">
        <v>88</v>
      </c>
      <c r="G27" s="43" t="s">
        <v>89</v>
      </c>
      <c r="H27" s="43">
        <v>0.1111111111111111</v>
      </c>
      <c r="I27" s="26" t="s">
        <v>20</v>
      </c>
      <c r="J27" s="27">
        <v>24</v>
      </c>
      <c r="K27" s="26" t="s">
        <v>90</v>
      </c>
      <c r="L27" s="26" t="s">
        <v>18</v>
      </c>
    </row>
    <row r="28" spans="2:12" x14ac:dyDescent="0.3">
      <c r="B28" s="26">
        <v>21</v>
      </c>
      <c r="C28" s="25">
        <v>44402</v>
      </c>
      <c r="D28" s="26" t="s">
        <v>7</v>
      </c>
      <c r="E28" s="26" t="s">
        <v>91</v>
      </c>
      <c r="F28" s="43" t="s">
        <v>92</v>
      </c>
      <c r="G28" s="43" t="s">
        <v>67</v>
      </c>
      <c r="H28" s="43">
        <v>9.9999999999999978E-2</v>
      </c>
      <c r="I28" s="26" t="s">
        <v>31</v>
      </c>
      <c r="J28" s="27">
        <v>47.999999999999986</v>
      </c>
      <c r="K28" s="26" t="s">
        <v>42</v>
      </c>
      <c r="L28" s="26" t="s">
        <v>18</v>
      </c>
    </row>
    <row r="29" spans="2:12" x14ac:dyDescent="0.3">
      <c r="B29" s="26">
        <v>22</v>
      </c>
      <c r="C29" s="25">
        <v>44385</v>
      </c>
      <c r="D29" s="26" t="s">
        <v>8</v>
      </c>
      <c r="E29" s="26" t="s">
        <v>93</v>
      </c>
      <c r="F29" s="43" t="s">
        <v>94</v>
      </c>
      <c r="G29" s="43" t="s">
        <v>95</v>
      </c>
      <c r="H29" s="43">
        <v>0.32569444444444445</v>
      </c>
      <c r="I29" s="26" t="s">
        <v>31</v>
      </c>
      <c r="J29" s="27">
        <v>117.25</v>
      </c>
      <c r="K29" s="26" t="s">
        <v>96</v>
      </c>
      <c r="L29" s="26" t="s">
        <v>18</v>
      </c>
    </row>
    <row r="30" spans="2:12" x14ac:dyDescent="0.3">
      <c r="B30" s="26">
        <v>23</v>
      </c>
      <c r="C30" s="25">
        <v>44405</v>
      </c>
      <c r="D30" s="26" t="s">
        <v>8</v>
      </c>
      <c r="E30" s="26" t="s">
        <v>97</v>
      </c>
      <c r="F30" s="43" t="s">
        <v>98</v>
      </c>
      <c r="G30" s="43" t="s">
        <v>99</v>
      </c>
      <c r="H30" s="43">
        <v>0.25624999999999998</v>
      </c>
      <c r="I30" s="26" t="s">
        <v>20</v>
      </c>
      <c r="J30" s="27">
        <v>92.249999999999986</v>
      </c>
      <c r="K30" s="26" t="s">
        <v>64</v>
      </c>
      <c r="L30" s="26" t="s">
        <v>18</v>
      </c>
    </row>
    <row r="31" spans="2:12" x14ac:dyDescent="0.3">
      <c r="B31" s="26">
        <v>24</v>
      </c>
      <c r="C31" s="25">
        <v>44440</v>
      </c>
      <c r="D31" s="26" t="s">
        <v>10</v>
      </c>
      <c r="E31" s="26" t="s">
        <v>100</v>
      </c>
      <c r="F31" s="43" t="s">
        <v>101</v>
      </c>
      <c r="G31" s="43" t="s">
        <v>102</v>
      </c>
      <c r="H31" s="43">
        <v>0.23680555555555549</v>
      </c>
      <c r="I31" s="26" t="s">
        <v>20</v>
      </c>
      <c r="J31" s="27">
        <v>51.149999999999984</v>
      </c>
      <c r="K31" s="26" t="s">
        <v>24</v>
      </c>
      <c r="L31" s="26" t="s">
        <v>18</v>
      </c>
    </row>
    <row r="32" spans="2:12" x14ac:dyDescent="0.3">
      <c r="B32" s="26">
        <v>25</v>
      </c>
      <c r="C32" s="25">
        <v>44377</v>
      </c>
      <c r="D32" s="26" t="s">
        <v>7</v>
      </c>
      <c r="E32" s="26" t="s">
        <v>103</v>
      </c>
      <c r="F32" s="43" t="s">
        <v>104</v>
      </c>
      <c r="G32" s="43" t="s">
        <v>105</v>
      </c>
      <c r="H32" s="43">
        <v>0.17638888888888882</v>
      </c>
      <c r="I32" s="26" t="s">
        <v>20</v>
      </c>
      <c r="J32" s="27">
        <v>84.666666666666629</v>
      </c>
      <c r="K32" s="26" t="s">
        <v>106</v>
      </c>
      <c r="L32" s="26" t="s">
        <v>18</v>
      </c>
    </row>
    <row r="33" spans="2:12" x14ac:dyDescent="0.3">
      <c r="B33" s="26">
        <v>26</v>
      </c>
      <c r="C33" s="25">
        <v>44439</v>
      </c>
      <c r="D33" s="26" t="s">
        <v>7</v>
      </c>
      <c r="E33" s="26" t="s">
        <v>107</v>
      </c>
      <c r="F33" s="43" t="s">
        <v>108</v>
      </c>
      <c r="G33" s="43" t="s">
        <v>109</v>
      </c>
      <c r="H33" s="43">
        <v>0.12083333333333335</v>
      </c>
      <c r="I33" s="26" t="s">
        <v>31</v>
      </c>
      <c r="J33" s="27">
        <v>58.000000000000007</v>
      </c>
      <c r="K33" s="26" t="s">
        <v>17</v>
      </c>
      <c r="L33" s="26" t="s">
        <v>18</v>
      </c>
    </row>
    <row r="34" spans="2:12" x14ac:dyDescent="0.3">
      <c r="B34" s="26">
        <v>27</v>
      </c>
      <c r="C34" s="25">
        <v>44404</v>
      </c>
      <c r="D34" s="26" t="s">
        <v>9</v>
      </c>
      <c r="E34" s="26" t="s">
        <v>110</v>
      </c>
      <c r="F34" s="43" t="s">
        <v>111</v>
      </c>
      <c r="G34" s="43" t="s">
        <v>112</v>
      </c>
      <c r="H34" s="43">
        <v>8.4027777777777757E-2</v>
      </c>
      <c r="I34" s="26" t="s">
        <v>20</v>
      </c>
      <c r="J34" s="27">
        <v>24.199999999999996</v>
      </c>
      <c r="K34" s="26" t="s">
        <v>64</v>
      </c>
      <c r="L34" s="26" t="s">
        <v>18</v>
      </c>
    </row>
    <row r="35" spans="2:12" x14ac:dyDescent="0.3">
      <c r="B35" s="26">
        <v>28</v>
      </c>
      <c r="C35" s="25">
        <v>44453</v>
      </c>
      <c r="D35" s="26" t="s">
        <v>10</v>
      </c>
      <c r="E35" s="26" t="s">
        <v>113</v>
      </c>
      <c r="F35" s="43" t="s">
        <v>114</v>
      </c>
      <c r="G35" s="43" t="s">
        <v>115</v>
      </c>
      <c r="H35" s="43">
        <v>0.18611111111111112</v>
      </c>
      <c r="I35" s="26" t="s">
        <v>31</v>
      </c>
      <c r="J35" s="27">
        <v>40.200000000000003</v>
      </c>
      <c r="K35" s="26" t="s">
        <v>77</v>
      </c>
      <c r="L35" s="26" t="s">
        <v>18</v>
      </c>
    </row>
    <row r="36" spans="2:12" x14ac:dyDescent="0.3">
      <c r="B36" s="26">
        <v>29</v>
      </c>
      <c r="C36" s="25">
        <v>44433</v>
      </c>
      <c r="D36" s="26" t="s">
        <v>10</v>
      </c>
      <c r="E36" s="26" t="s">
        <v>116</v>
      </c>
      <c r="F36" s="43" t="s">
        <v>108</v>
      </c>
      <c r="G36" s="43" t="s">
        <v>38</v>
      </c>
      <c r="H36" s="43">
        <v>0.13888888888888895</v>
      </c>
      <c r="I36" s="26" t="s">
        <v>20</v>
      </c>
      <c r="J36" s="27">
        <v>30.000000000000014</v>
      </c>
      <c r="K36" s="26" t="s">
        <v>117</v>
      </c>
      <c r="L36" s="26" t="s">
        <v>18</v>
      </c>
    </row>
    <row r="37" spans="2:12" x14ac:dyDescent="0.3">
      <c r="B37" s="26">
        <v>30</v>
      </c>
      <c r="C37" s="25">
        <v>44382</v>
      </c>
      <c r="D37" s="26" t="s">
        <v>7</v>
      </c>
      <c r="E37" s="26" t="s">
        <v>118</v>
      </c>
      <c r="F37" s="43" t="s">
        <v>119</v>
      </c>
      <c r="G37" s="43" t="s">
        <v>120</v>
      </c>
      <c r="H37" s="43">
        <v>0.33402777777777776</v>
      </c>
      <c r="I37" s="26" t="s">
        <v>20</v>
      </c>
      <c r="J37" s="27">
        <v>160.33333333333331</v>
      </c>
      <c r="K37" s="26" t="s">
        <v>24</v>
      </c>
      <c r="L37" s="26" t="s">
        <v>18</v>
      </c>
    </row>
    <row r="38" spans="2:12" x14ac:dyDescent="0.3">
      <c r="B38" s="26">
        <v>31</v>
      </c>
      <c r="C38" s="25">
        <v>44367</v>
      </c>
      <c r="D38" s="26" t="s">
        <v>7</v>
      </c>
      <c r="E38" s="26" t="s">
        <v>121</v>
      </c>
      <c r="F38" s="43" t="s">
        <v>122</v>
      </c>
      <c r="G38" s="43" t="s">
        <v>123</v>
      </c>
      <c r="H38" s="43">
        <v>0.20902777777777776</v>
      </c>
      <c r="I38" s="26" t="s">
        <v>31</v>
      </c>
      <c r="J38" s="27">
        <v>100.33333333333331</v>
      </c>
      <c r="K38" s="26" t="s">
        <v>57</v>
      </c>
      <c r="L38" s="26" t="s">
        <v>18</v>
      </c>
    </row>
    <row r="39" spans="2:12" x14ac:dyDescent="0.3">
      <c r="B39" s="26">
        <v>32</v>
      </c>
      <c r="C39" s="25">
        <v>44431</v>
      </c>
      <c r="D39" s="26" t="s">
        <v>8</v>
      </c>
      <c r="E39" s="26" t="s">
        <v>124</v>
      </c>
      <c r="F39" s="43" t="s">
        <v>125</v>
      </c>
      <c r="G39" s="43" t="s">
        <v>126</v>
      </c>
      <c r="H39" s="43">
        <v>0.25138888888888894</v>
      </c>
      <c r="I39" s="26" t="s">
        <v>20</v>
      </c>
      <c r="J39" s="27">
        <v>90.500000000000028</v>
      </c>
      <c r="K39" s="26" t="s">
        <v>77</v>
      </c>
      <c r="L39" s="26" t="s">
        <v>18</v>
      </c>
    </row>
    <row r="40" spans="2:12" x14ac:dyDescent="0.3">
      <c r="B40" s="26">
        <v>33</v>
      </c>
      <c r="C40" s="25">
        <v>44400</v>
      </c>
      <c r="D40" s="26" t="s">
        <v>9</v>
      </c>
      <c r="E40" s="26" t="s">
        <v>127</v>
      </c>
      <c r="F40" s="43" t="s">
        <v>88</v>
      </c>
      <c r="G40" s="43" t="s">
        <v>128</v>
      </c>
      <c r="H40" s="43">
        <v>9.7916666666666596E-2</v>
      </c>
      <c r="I40" s="26" t="s">
        <v>20</v>
      </c>
      <c r="J40" s="27">
        <v>28.199999999999982</v>
      </c>
      <c r="K40" s="26" t="s">
        <v>35</v>
      </c>
      <c r="L40" s="26" t="s">
        <v>18</v>
      </c>
    </row>
    <row r="41" spans="2:12" x14ac:dyDescent="0.3">
      <c r="B41" s="26">
        <v>34</v>
      </c>
      <c r="C41" s="25">
        <v>44413</v>
      </c>
      <c r="D41" s="26" t="s">
        <v>7</v>
      </c>
      <c r="E41" s="26" t="s">
        <v>129</v>
      </c>
      <c r="F41" s="43" t="s">
        <v>125</v>
      </c>
      <c r="G41" s="43" t="s">
        <v>130</v>
      </c>
      <c r="H41" s="43">
        <v>0.31944444444444448</v>
      </c>
      <c r="I41" s="26" t="s">
        <v>20</v>
      </c>
      <c r="J41" s="27">
        <v>153.33333333333337</v>
      </c>
      <c r="K41" s="26" t="s">
        <v>57</v>
      </c>
      <c r="L41" s="26" t="s">
        <v>18</v>
      </c>
    </row>
    <row r="42" spans="2:12" x14ac:dyDescent="0.3">
      <c r="B42" s="26">
        <v>35</v>
      </c>
      <c r="C42" s="25">
        <v>44430</v>
      </c>
      <c r="D42" s="26" t="s">
        <v>8</v>
      </c>
      <c r="E42" s="26" t="s">
        <v>131</v>
      </c>
      <c r="F42" s="43" t="s">
        <v>132</v>
      </c>
      <c r="G42" s="43" t="s">
        <v>133</v>
      </c>
      <c r="H42" s="43">
        <v>0.14305555555555555</v>
      </c>
      <c r="I42" s="26" t="s">
        <v>31</v>
      </c>
      <c r="J42" s="27">
        <v>51.5</v>
      </c>
      <c r="K42" s="26" t="s">
        <v>134</v>
      </c>
      <c r="L42" s="26" t="s">
        <v>18</v>
      </c>
    </row>
    <row r="43" spans="2:12" x14ac:dyDescent="0.3">
      <c r="B43" s="26">
        <v>36</v>
      </c>
      <c r="C43" s="25">
        <v>44434</v>
      </c>
      <c r="D43" s="26" t="s">
        <v>7</v>
      </c>
      <c r="E43" s="26" t="s">
        <v>135</v>
      </c>
      <c r="F43" s="43" t="s">
        <v>136</v>
      </c>
      <c r="G43" s="43" t="s">
        <v>137</v>
      </c>
      <c r="H43" s="43">
        <v>8.0555555555555491E-2</v>
      </c>
      <c r="I43" s="26" t="s">
        <v>20</v>
      </c>
      <c r="J43" s="27">
        <v>38.666666666666636</v>
      </c>
      <c r="K43" s="26" t="s">
        <v>35</v>
      </c>
      <c r="L43" s="26" t="s">
        <v>18</v>
      </c>
    </row>
    <row r="44" spans="2:12" x14ac:dyDescent="0.3">
      <c r="B44" s="26">
        <v>37</v>
      </c>
      <c r="C44" s="25">
        <v>44458</v>
      </c>
      <c r="D44" s="26" t="s">
        <v>9</v>
      </c>
      <c r="E44" s="26" t="s">
        <v>138</v>
      </c>
      <c r="F44" s="43" t="s">
        <v>139</v>
      </c>
      <c r="G44" s="43" t="s">
        <v>140</v>
      </c>
      <c r="H44" s="43">
        <v>0.16666666666666669</v>
      </c>
      <c r="I44" s="26" t="s">
        <v>20</v>
      </c>
      <c r="J44" s="27">
        <v>48</v>
      </c>
      <c r="K44" s="26" t="s">
        <v>17</v>
      </c>
      <c r="L44" s="26" t="s">
        <v>18</v>
      </c>
    </row>
    <row r="45" spans="2:12" x14ac:dyDescent="0.3">
      <c r="B45" s="26">
        <v>38</v>
      </c>
      <c r="C45" s="25">
        <v>44457</v>
      </c>
      <c r="D45" s="26" t="s">
        <v>7</v>
      </c>
      <c r="E45" s="26" t="s">
        <v>141</v>
      </c>
      <c r="F45" s="43" t="s">
        <v>142</v>
      </c>
      <c r="G45" s="43" t="s">
        <v>60</v>
      </c>
      <c r="H45" s="43">
        <v>6.8750000000000033E-2</v>
      </c>
      <c r="I45" s="26" t="s">
        <v>31</v>
      </c>
      <c r="J45" s="27">
        <v>33.000000000000014</v>
      </c>
      <c r="K45" s="26" t="s">
        <v>106</v>
      </c>
      <c r="L45" s="26" t="s">
        <v>18</v>
      </c>
    </row>
    <row r="46" spans="2:12" x14ac:dyDescent="0.3">
      <c r="B46" s="26">
        <v>39</v>
      </c>
      <c r="C46" s="25">
        <v>44387</v>
      </c>
      <c r="D46" s="26" t="s">
        <v>10</v>
      </c>
      <c r="E46" s="26" t="s">
        <v>143</v>
      </c>
      <c r="F46" s="43" t="s">
        <v>144</v>
      </c>
      <c r="G46" s="43" t="s">
        <v>145</v>
      </c>
      <c r="H46" s="43">
        <v>8.4722222222222254E-2</v>
      </c>
      <c r="I46" s="26" t="s">
        <v>31</v>
      </c>
      <c r="J46" s="27">
        <v>18.300000000000008</v>
      </c>
      <c r="K46" s="26" t="s">
        <v>57</v>
      </c>
      <c r="L46" s="26" t="s">
        <v>18</v>
      </c>
    </row>
    <row r="47" spans="2:12" x14ac:dyDescent="0.3">
      <c r="B47" s="26">
        <v>40</v>
      </c>
      <c r="C47" s="25">
        <v>44378</v>
      </c>
      <c r="D47" s="26" t="s">
        <v>7</v>
      </c>
      <c r="E47" s="26" t="s">
        <v>146</v>
      </c>
      <c r="F47" s="43" t="s">
        <v>147</v>
      </c>
      <c r="G47" s="43" t="s">
        <v>148</v>
      </c>
      <c r="H47" s="43">
        <v>0.26527777777777783</v>
      </c>
      <c r="I47" s="26" t="s">
        <v>20</v>
      </c>
      <c r="J47" s="27">
        <v>127.33333333333336</v>
      </c>
      <c r="K47" s="26" t="s">
        <v>53</v>
      </c>
      <c r="L47" s="26" t="s">
        <v>18</v>
      </c>
    </row>
    <row r="48" spans="2:12" x14ac:dyDescent="0.3">
      <c r="B48" s="26">
        <v>41</v>
      </c>
      <c r="C48" s="25">
        <v>44397</v>
      </c>
      <c r="D48" s="26" t="s">
        <v>7</v>
      </c>
      <c r="E48" s="26" t="s">
        <v>149</v>
      </c>
      <c r="F48" s="43" t="s">
        <v>150</v>
      </c>
      <c r="G48" s="43" t="s">
        <v>151</v>
      </c>
      <c r="H48" s="43">
        <v>0.12152777777777779</v>
      </c>
      <c r="I48" s="26" t="s">
        <v>20</v>
      </c>
      <c r="J48" s="27">
        <v>58.333333333333343</v>
      </c>
      <c r="K48" s="26" t="s">
        <v>46</v>
      </c>
      <c r="L48" s="26" t="s">
        <v>18</v>
      </c>
    </row>
    <row r="49" spans="2:12" x14ac:dyDescent="0.3">
      <c r="B49" s="26">
        <v>42</v>
      </c>
      <c r="C49" s="25">
        <v>44432</v>
      </c>
      <c r="D49" s="26" t="s">
        <v>10</v>
      </c>
      <c r="E49" s="26" t="s">
        <v>152</v>
      </c>
      <c r="F49" s="43" t="s">
        <v>153</v>
      </c>
      <c r="G49" s="43" t="s">
        <v>154</v>
      </c>
      <c r="H49" s="43">
        <v>0.3041666666666667</v>
      </c>
      <c r="I49" s="26" t="s">
        <v>31</v>
      </c>
      <c r="J49" s="27">
        <v>65.7</v>
      </c>
      <c r="K49" s="26" t="s">
        <v>96</v>
      </c>
      <c r="L49" s="26" t="s">
        <v>18</v>
      </c>
    </row>
    <row r="50" spans="2:12" x14ac:dyDescent="0.3">
      <c r="B50" s="26">
        <v>43</v>
      </c>
      <c r="C50" s="25">
        <v>44427</v>
      </c>
      <c r="D50" s="26" t="s">
        <v>7</v>
      </c>
      <c r="E50" s="26" t="s">
        <v>155</v>
      </c>
      <c r="F50" s="43" t="s">
        <v>156</v>
      </c>
      <c r="G50" s="43" t="s">
        <v>157</v>
      </c>
      <c r="H50" s="43">
        <v>0.29166666666666669</v>
      </c>
      <c r="I50" s="26" t="s">
        <v>20</v>
      </c>
      <c r="J50" s="27">
        <v>140</v>
      </c>
      <c r="K50" s="26" t="s">
        <v>49</v>
      </c>
      <c r="L50" s="26" t="s">
        <v>18</v>
      </c>
    </row>
    <row r="51" spans="2:12" x14ac:dyDescent="0.3">
      <c r="B51" s="26">
        <v>44</v>
      </c>
      <c r="C51" s="25">
        <v>44425</v>
      </c>
      <c r="D51" s="26" t="s">
        <v>10</v>
      </c>
      <c r="E51" s="26" t="s">
        <v>158</v>
      </c>
      <c r="F51" s="43" t="s">
        <v>159</v>
      </c>
      <c r="G51" s="43" t="s">
        <v>160</v>
      </c>
      <c r="H51" s="43">
        <v>0.21180555555555552</v>
      </c>
      <c r="I51" s="26" t="s">
        <v>20</v>
      </c>
      <c r="J51" s="27">
        <v>45.749999999999986</v>
      </c>
      <c r="K51" s="26" t="s">
        <v>64</v>
      </c>
      <c r="L51" s="26" t="s">
        <v>18</v>
      </c>
    </row>
    <row r="52" spans="2:12" x14ac:dyDescent="0.3">
      <c r="B52" s="26">
        <v>45</v>
      </c>
      <c r="C52" s="25">
        <v>44349</v>
      </c>
      <c r="D52" s="26" t="s">
        <v>7</v>
      </c>
      <c r="E52" s="26" t="s">
        <v>161</v>
      </c>
      <c r="F52" s="43" t="s">
        <v>162</v>
      </c>
      <c r="G52" s="43" t="s">
        <v>163</v>
      </c>
      <c r="H52" s="43">
        <v>0.17916666666666664</v>
      </c>
      <c r="I52" s="26" t="s">
        <v>20</v>
      </c>
      <c r="J52" s="27">
        <v>85.999999999999972</v>
      </c>
      <c r="K52" s="26" t="s">
        <v>77</v>
      </c>
      <c r="L52" s="26" t="s">
        <v>18</v>
      </c>
    </row>
    <row r="53" spans="2:12" x14ac:dyDescent="0.3">
      <c r="B53" s="26">
        <v>46</v>
      </c>
      <c r="C53" s="25">
        <v>44441</v>
      </c>
      <c r="D53" s="26" t="s">
        <v>7</v>
      </c>
      <c r="E53" s="26" t="s">
        <v>164</v>
      </c>
      <c r="F53" s="43" t="s">
        <v>165</v>
      </c>
      <c r="G53" s="43" t="s">
        <v>166</v>
      </c>
      <c r="H53" s="43">
        <v>2.8472222222222288E-2</v>
      </c>
      <c r="I53" s="26" t="s">
        <v>20</v>
      </c>
      <c r="J53" s="27">
        <v>13.666666666666698</v>
      </c>
      <c r="K53" s="26" t="s">
        <v>42</v>
      </c>
      <c r="L53" s="26" t="s">
        <v>18</v>
      </c>
    </row>
    <row r="54" spans="2:12" x14ac:dyDescent="0.3">
      <c r="B54" s="26">
        <v>47</v>
      </c>
      <c r="C54" s="25">
        <v>44456</v>
      </c>
      <c r="D54" s="26" t="s">
        <v>7</v>
      </c>
      <c r="E54" s="26" t="s">
        <v>167</v>
      </c>
      <c r="F54" s="43" t="s">
        <v>168</v>
      </c>
      <c r="G54" s="43" t="s">
        <v>169</v>
      </c>
      <c r="H54" s="43">
        <v>1.5277777777777779E-2</v>
      </c>
      <c r="I54" s="26" t="s">
        <v>20</v>
      </c>
      <c r="J54" s="27">
        <v>7.3333333333333339</v>
      </c>
      <c r="K54" s="26" t="s">
        <v>77</v>
      </c>
      <c r="L54" s="26" t="s">
        <v>18</v>
      </c>
    </row>
    <row r="55" spans="2:12" x14ac:dyDescent="0.3">
      <c r="B55" s="26">
        <v>48</v>
      </c>
      <c r="C55" s="25">
        <v>44420</v>
      </c>
      <c r="D55" s="26" t="s">
        <v>10</v>
      </c>
      <c r="E55" s="26" t="s">
        <v>170</v>
      </c>
      <c r="F55" s="43" t="s">
        <v>171</v>
      </c>
      <c r="G55" s="43" t="s">
        <v>30</v>
      </c>
      <c r="H55" s="43">
        <v>0.10694444444444445</v>
      </c>
      <c r="I55" s="26" t="s">
        <v>31</v>
      </c>
      <c r="J55" s="27">
        <v>23.1</v>
      </c>
      <c r="K55" s="26" t="s">
        <v>117</v>
      </c>
      <c r="L55" s="26" t="s">
        <v>18</v>
      </c>
    </row>
    <row r="56" spans="2:12" x14ac:dyDescent="0.3">
      <c r="B56" s="26">
        <v>49</v>
      </c>
      <c r="C56" s="25">
        <v>44373</v>
      </c>
      <c r="D56" s="26" t="s">
        <v>9</v>
      </c>
      <c r="E56" s="26" t="s">
        <v>172</v>
      </c>
      <c r="F56" s="43" t="s">
        <v>173</v>
      </c>
      <c r="G56" s="43" t="s">
        <v>174</v>
      </c>
      <c r="H56" s="43">
        <v>0.14374999999999999</v>
      </c>
      <c r="I56" s="26" t="s">
        <v>20</v>
      </c>
      <c r="J56" s="27">
        <v>41.4</v>
      </c>
      <c r="K56" s="26" t="s">
        <v>96</v>
      </c>
      <c r="L56" s="26" t="s">
        <v>18</v>
      </c>
    </row>
    <row r="57" spans="2:12" x14ac:dyDescent="0.3">
      <c r="B57" s="26">
        <v>50</v>
      </c>
      <c r="C57" s="25">
        <v>44374</v>
      </c>
      <c r="D57" s="26" t="s">
        <v>7</v>
      </c>
      <c r="E57" s="26" t="s">
        <v>175</v>
      </c>
      <c r="F57" s="43" t="s">
        <v>82</v>
      </c>
      <c r="G57" s="43" t="s">
        <v>176</v>
      </c>
      <c r="H57" s="43">
        <v>0.26597222222222228</v>
      </c>
      <c r="I57" s="26" t="s">
        <v>31</v>
      </c>
      <c r="J57" s="27">
        <v>127.66666666666669</v>
      </c>
      <c r="K57" s="26" t="s">
        <v>77</v>
      </c>
      <c r="L57" s="26" t="s">
        <v>18</v>
      </c>
    </row>
    <row r="58" spans="2:12" x14ac:dyDescent="0.3">
      <c r="B58" s="26">
        <v>51</v>
      </c>
      <c r="C58" s="25">
        <v>44357</v>
      </c>
      <c r="D58" s="26" t="s">
        <v>7</v>
      </c>
      <c r="E58" s="26" t="s">
        <v>177</v>
      </c>
      <c r="F58" s="43" t="s">
        <v>114</v>
      </c>
      <c r="G58" s="43" t="s">
        <v>178</v>
      </c>
      <c r="H58" s="43">
        <v>0.18333333333333335</v>
      </c>
      <c r="I58" s="26" t="s">
        <v>31</v>
      </c>
      <c r="J58" s="27">
        <v>88</v>
      </c>
      <c r="K58" s="26" t="s">
        <v>106</v>
      </c>
      <c r="L58" s="26" t="s">
        <v>18</v>
      </c>
    </row>
    <row r="59" spans="2:12" x14ac:dyDescent="0.3">
      <c r="B59" s="26">
        <v>52</v>
      </c>
      <c r="C59" s="25">
        <v>44451</v>
      </c>
      <c r="D59" s="26" t="s">
        <v>9</v>
      </c>
      <c r="E59" s="26" t="s">
        <v>179</v>
      </c>
      <c r="F59" s="43" t="s">
        <v>180</v>
      </c>
      <c r="G59" s="43" t="s">
        <v>181</v>
      </c>
      <c r="H59" s="43">
        <v>7.4305555555555569E-2</v>
      </c>
      <c r="I59" s="26" t="s">
        <v>31</v>
      </c>
      <c r="J59" s="27">
        <v>21.400000000000006</v>
      </c>
      <c r="K59" s="26" t="s">
        <v>106</v>
      </c>
      <c r="L59" s="26" t="s">
        <v>18</v>
      </c>
    </row>
    <row r="60" spans="2:12" x14ac:dyDescent="0.3">
      <c r="B60" s="26">
        <v>53</v>
      </c>
      <c r="C60" s="25">
        <v>44369</v>
      </c>
      <c r="D60" s="26" t="s">
        <v>10</v>
      </c>
      <c r="E60" s="26" t="s">
        <v>182</v>
      </c>
      <c r="F60" s="43" t="s">
        <v>183</v>
      </c>
      <c r="G60" s="43" t="s">
        <v>151</v>
      </c>
      <c r="H60" s="43">
        <v>7.4305555555555569E-2</v>
      </c>
      <c r="I60" s="26" t="s">
        <v>31</v>
      </c>
      <c r="J60" s="27">
        <v>16.050000000000004</v>
      </c>
      <c r="K60" s="26" t="s">
        <v>96</v>
      </c>
      <c r="L60" s="26" t="s">
        <v>18</v>
      </c>
    </row>
    <row r="61" spans="2:12" x14ac:dyDescent="0.3">
      <c r="B61" s="26">
        <v>54</v>
      </c>
      <c r="C61" s="25">
        <v>44349</v>
      </c>
      <c r="D61" s="26" t="s">
        <v>7</v>
      </c>
      <c r="E61" s="26" t="s">
        <v>184</v>
      </c>
      <c r="F61" s="43" t="s">
        <v>94</v>
      </c>
      <c r="G61" s="43" t="s">
        <v>185</v>
      </c>
      <c r="H61" s="43">
        <v>0.27777777777777773</v>
      </c>
      <c r="I61" s="26" t="s">
        <v>31</v>
      </c>
      <c r="J61" s="27">
        <v>133.33333333333331</v>
      </c>
      <c r="K61" s="26" t="s">
        <v>49</v>
      </c>
      <c r="L61" s="26" t="s">
        <v>18</v>
      </c>
    </row>
    <row r="62" spans="2:12" x14ac:dyDescent="0.3">
      <c r="B62" s="26">
        <v>55</v>
      </c>
      <c r="C62" s="25">
        <v>44364</v>
      </c>
      <c r="D62" s="26" t="s">
        <v>9</v>
      </c>
      <c r="E62" s="26" t="s">
        <v>186</v>
      </c>
      <c r="F62" s="43" t="s">
        <v>111</v>
      </c>
      <c r="G62" s="43" t="s">
        <v>187</v>
      </c>
      <c r="H62" s="43">
        <v>0.12847222222222227</v>
      </c>
      <c r="I62" s="26" t="s">
        <v>20</v>
      </c>
      <c r="J62" s="27">
        <v>37.000000000000014</v>
      </c>
      <c r="K62" s="26" t="s">
        <v>106</v>
      </c>
      <c r="L62" s="26" t="s">
        <v>18</v>
      </c>
    </row>
    <row r="63" spans="2:12" x14ac:dyDescent="0.3">
      <c r="B63" s="26">
        <v>56</v>
      </c>
      <c r="C63" s="25">
        <v>44445</v>
      </c>
      <c r="D63" s="26" t="s">
        <v>8</v>
      </c>
      <c r="E63" s="26" t="s">
        <v>188</v>
      </c>
      <c r="F63" s="43" t="s">
        <v>189</v>
      </c>
      <c r="G63" s="43" t="s">
        <v>190</v>
      </c>
      <c r="H63" s="43">
        <v>0.12847222222222227</v>
      </c>
      <c r="I63" s="26" t="s">
        <v>31</v>
      </c>
      <c r="J63" s="27">
        <v>46.250000000000014</v>
      </c>
      <c r="K63" s="26" t="s">
        <v>90</v>
      </c>
      <c r="L63" s="26" t="s">
        <v>18</v>
      </c>
    </row>
    <row r="64" spans="2:12" x14ac:dyDescent="0.3">
      <c r="B64" s="26">
        <v>57</v>
      </c>
      <c r="C64" s="25">
        <v>44378</v>
      </c>
      <c r="D64" s="26" t="s">
        <v>8</v>
      </c>
      <c r="E64" s="26" t="s">
        <v>191</v>
      </c>
      <c r="F64" s="43" t="s">
        <v>192</v>
      </c>
      <c r="G64" s="43" t="s">
        <v>193</v>
      </c>
      <c r="H64" s="43">
        <v>0.16249999999999992</v>
      </c>
      <c r="I64" s="26" t="s">
        <v>20</v>
      </c>
      <c r="J64" s="27">
        <v>58.499999999999972</v>
      </c>
      <c r="K64" s="26" t="s">
        <v>57</v>
      </c>
      <c r="L64" s="26" t="s">
        <v>18</v>
      </c>
    </row>
    <row r="65" spans="2:12" x14ac:dyDescent="0.3">
      <c r="B65" s="26">
        <v>58</v>
      </c>
      <c r="C65" s="25">
        <v>44441</v>
      </c>
      <c r="D65" s="26" t="s">
        <v>10</v>
      </c>
      <c r="E65" s="26" t="s">
        <v>194</v>
      </c>
      <c r="F65" s="43" t="s">
        <v>195</v>
      </c>
      <c r="G65" s="43" t="s">
        <v>196</v>
      </c>
      <c r="H65" s="43">
        <v>0.11458333333333331</v>
      </c>
      <c r="I65" s="26" t="s">
        <v>31</v>
      </c>
      <c r="J65" s="27">
        <v>24.749999999999996</v>
      </c>
      <c r="K65" s="26" t="s">
        <v>117</v>
      </c>
      <c r="L65" s="26" t="s">
        <v>18</v>
      </c>
    </row>
    <row r="66" spans="2:12" x14ac:dyDescent="0.3">
      <c r="B66" s="26">
        <v>59</v>
      </c>
      <c r="C66" s="25">
        <v>44381</v>
      </c>
      <c r="D66" s="26" t="s">
        <v>9</v>
      </c>
      <c r="E66" s="26" t="s">
        <v>197</v>
      </c>
      <c r="F66" s="43" t="s">
        <v>198</v>
      </c>
      <c r="G66" s="43" t="s">
        <v>199</v>
      </c>
      <c r="H66" s="43">
        <v>0.1687499999999999</v>
      </c>
      <c r="I66" s="26" t="s">
        <v>20</v>
      </c>
      <c r="J66" s="27">
        <v>48.599999999999966</v>
      </c>
      <c r="K66" s="26" t="s">
        <v>77</v>
      </c>
      <c r="L66" s="26" t="s">
        <v>18</v>
      </c>
    </row>
    <row r="67" spans="2:12" x14ac:dyDescent="0.3">
      <c r="B67" s="26">
        <v>60</v>
      </c>
      <c r="C67" s="25">
        <v>44460</v>
      </c>
      <c r="D67" s="26" t="s">
        <v>7</v>
      </c>
      <c r="E67" s="26" t="s">
        <v>200</v>
      </c>
      <c r="F67" s="43" t="s">
        <v>98</v>
      </c>
      <c r="G67" s="43" t="s">
        <v>201</v>
      </c>
      <c r="H67" s="43">
        <v>0.20138888888888895</v>
      </c>
      <c r="I67" s="26" t="s">
        <v>31</v>
      </c>
      <c r="J67" s="27">
        <v>96.6666666666667</v>
      </c>
      <c r="K67" s="26" t="s">
        <v>117</v>
      </c>
      <c r="L67" s="26" t="s">
        <v>18</v>
      </c>
    </row>
    <row r="68" spans="2:12" x14ac:dyDescent="0.3">
      <c r="B68" s="26">
        <v>61</v>
      </c>
      <c r="C68" s="25">
        <v>44398</v>
      </c>
      <c r="D68" s="26" t="s">
        <v>7</v>
      </c>
      <c r="E68" s="26" t="s">
        <v>202</v>
      </c>
      <c r="F68" s="43" t="s">
        <v>203</v>
      </c>
      <c r="G68" s="43" t="s">
        <v>204</v>
      </c>
      <c r="H68" s="43">
        <v>0.26319444444444445</v>
      </c>
      <c r="I68" s="26" t="s">
        <v>31</v>
      </c>
      <c r="J68" s="27">
        <v>126.33333333333333</v>
      </c>
      <c r="K68" s="26" t="s">
        <v>24</v>
      </c>
      <c r="L68" s="26" t="s">
        <v>18</v>
      </c>
    </row>
    <row r="69" spans="2:12" x14ac:dyDescent="0.3">
      <c r="B69" s="26">
        <v>62</v>
      </c>
      <c r="C69" s="25">
        <v>44464</v>
      </c>
      <c r="D69" s="26" t="s">
        <v>7</v>
      </c>
      <c r="E69" s="26" t="s">
        <v>205</v>
      </c>
      <c r="F69" s="43" t="s">
        <v>37</v>
      </c>
      <c r="G69" s="43" t="s">
        <v>206</v>
      </c>
      <c r="H69" s="43">
        <v>8.1249999999999933E-2</v>
      </c>
      <c r="I69" s="26" t="s">
        <v>31</v>
      </c>
      <c r="J69" s="27">
        <v>38.999999999999972</v>
      </c>
      <c r="K69" s="26" t="s">
        <v>96</v>
      </c>
      <c r="L69" s="26" t="s">
        <v>18</v>
      </c>
    </row>
    <row r="70" spans="2:12" x14ac:dyDescent="0.3">
      <c r="B70" s="26">
        <v>63</v>
      </c>
      <c r="C70" s="25">
        <v>44397</v>
      </c>
      <c r="D70" s="26" t="s">
        <v>10</v>
      </c>
      <c r="E70" s="26" t="s">
        <v>207</v>
      </c>
      <c r="F70" s="43" t="s">
        <v>208</v>
      </c>
      <c r="G70" s="43" t="s">
        <v>209</v>
      </c>
      <c r="H70" s="43">
        <v>0.22152777777777782</v>
      </c>
      <c r="I70" s="26" t="s">
        <v>31</v>
      </c>
      <c r="J70" s="27">
        <v>47.850000000000016</v>
      </c>
      <c r="K70" s="26" t="s">
        <v>117</v>
      </c>
      <c r="L70" s="26" t="s">
        <v>18</v>
      </c>
    </row>
    <row r="71" spans="2:12" x14ac:dyDescent="0.3">
      <c r="B71" s="26">
        <v>64</v>
      </c>
      <c r="C71" s="25">
        <v>44382</v>
      </c>
      <c r="D71" s="26" t="s">
        <v>8</v>
      </c>
      <c r="E71" s="26" t="s">
        <v>210</v>
      </c>
      <c r="F71" s="43" t="s">
        <v>211</v>
      </c>
      <c r="G71" s="43" t="s">
        <v>212</v>
      </c>
      <c r="H71" s="43">
        <v>0.16250000000000003</v>
      </c>
      <c r="I71" s="26" t="s">
        <v>31</v>
      </c>
      <c r="J71" s="27">
        <v>58.500000000000014</v>
      </c>
      <c r="K71" s="26" t="s">
        <v>35</v>
      </c>
      <c r="L71" s="26" t="s">
        <v>18</v>
      </c>
    </row>
    <row r="72" spans="2:12" x14ac:dyDescent="0.3">
      <c r="B72" s="26">
        <v>65</v>
      </c>
      <c r="C72" s="25">
        <v>44433</v>
      </c>
      <c r="D72" s="26" t="s">
        <v>8</v>
      </c>
      <c r="E72" s="26" t="s">
        <v>213</v>
      </c>
      <c r="F72" s="43" t="s">
        <v>214</v>
      </c>
      <c r="G72" s="43" t="s">
        <v>215</v>
      </c>
      <c r="H72" s="43">
        <v>0.21180555555555552</v>
      </c>
      <c r="I72" s="26" t="s">
        <v>31</v>
      </c>
      <c r="J72" s="27">
        <v>76.249999999999986</v>
      </c>
      <c r="K72" s="26" t="s">
        <v>46</v>
      </c>
      <c r="L72" s="26" t="s">
        <v>18</v>
      </c>
    </row>
    <row r="73" spans="2:12" x14ac:dyDescent="0.3">
      <c r="B73" s="26">
        <v>66</v>
      </c>
      <c r="C73" s="25">
        <v>44371</v>
      </c>
      <c r="D73" s="26" t="s">
        <v>7</v>
      </c>
      <c r="E73" s="26" t="s">
        <v>216</v>
      </c>
      <c r="F73" s="43" t="s">
        <v>26</v>
      </c>
      <c r="G73" s="43" t="s">
        <v>217</v>
      </c>
      <c r="H73" s="43">
        <v>0.2673611111111111</v>
      </c>
      <c r="I73" s="26" t="s">
        <v>20</v>
      </c>
      <c r="J73" s="27">
        <v>128.33333333333331</v>
      </c>
      <c r="K73" s="26" t="s">
        <v>49</v>
      </c>
      <c r="L73" s="26" t="s">
        <v>18</v>
      </c>
    </row>
    <row r="74" spans="2:12" x14ac:dyDescent="0.3">
      <c r="B74" s="26">
        <v>67</v>
      </c>
      <c r="C74" s="25">
        <v>44419</v>
      </c>
      <c r="D74" s="26" t="s">
        <v>9</v>
      </c>
      <c r="E74" s="26" t="s">
        <v>218</v>
      </c>
      <c r="F74" s="43" t="s">
        <v>219</v>
      </c>
      <c r="G74" s="43" t="s">
        <v>27</v>
      </c>
      <c r="H74" s="43">
        <v>0.16458333333333325</v>
      </c>
      <c r="I74" s="26" t="s">
        <v>20</v>
      </c>
      <c r="J74" s="27">
        <v>47.399999999999977</v>
      </c>
      <c r="K74" s="26" t="s">
        <v>42</v>
      </c>
      <c r="L74" s="26" t="s">
        <v>18</v>
      </c>
    </row>
    <row r="75" spans="2:12" x14ac:dyDescent="0.3">
      <c r="B75" s="26">
        <v>68</v>
      </c>
      <c r="C75" s="25">
        <v>44469</v>
      </c>
      <c r="D75" s="26" t="s">
        <v>7</v>
      </c>
      <c r="E75" s="26" t="s">
        <v>220</v>
      </c>
      <c r="F75" s="43" t="s">
        <v>221</v>
      </c>
      <c r="G75" s="43" t="s">
        <v>222</v>
      </c>
      <c r="H75" s="43">
        <v>0.22777777777777775</v>
      </c>
      <c r="I75" s="26" t="s">
        <v>31</v>
      </c>
      <c r="J75" s="27">
        <v>109.33333333333331</v>
      </c>
      <c r="K75" s="26" t="s">
        <v>35</v>
      </c>
      <c r="L75" s="26" t="s">
        <v>18</v>
      </c>
    </row>
    <row r="76" spans="2:12" x14ac:dyDescent="0.3">
      <c r="B76" s="26">
        <v>69</v>
      </c>
      <c r="C76" s="25">
        <v>44456</v>
      </c>
      <c r="D76" s="26" t="s">
        <v>9</v>
      </c>
      <c r="E76" s="26" t="s">
        <v>223</v>
      </c>
      <c r="F76" s="43" t="s">
        <v>224</v>
      </c>
      <c r="G76" s="43" t="s">
        <v>112</v>
      </c>
      <c r="H76" s="43">
        <v>9.0972222222222177E-2</v>
      </c>
      <c r="I76" s="26" t="s">
        <v>31</v>
      </c>
      <c r="J76" s="27">
        <v>26.199999999999989</v>
      </c>
      <c r="K76" s="26" t="s">
        <v>117</v>
      </c>
      <c r="L76" s="26" t="s">
        <v>18</v>
      </c>
    </row>
    <row r="77" spans="2:12" x14ac:dyDescent="0.3">
      <c r="B77" s="26">
        <v>70</v>
      </c>
      <c r="C77" s="25">
        <v>44444</v>
      </c>
      <c r="D77" s="26" t="s">
        <v>10</v>
      </c>
      <c r="E77" s="26" t="s">
        <v>225</v>
      </c>
      <c r="F77" s="43" t="s">
        <v>226</v>
      </c>
      <c r="G77" s="43" t="s">
        <v>227</v>
      </c>
      <c r="H77" s="43">
        <v>0.2729166666666667</v>
      </c>
      <c r="I77" s="26" t="s">
        <v>20</v>
      </c>
      <c r="J77" s="27">
        <v>58.95</v>
      </c>
      <c r="K77" s="26" t="s">
        <v>77</v>
      </c>
      <c r="L77" s="26" t="s">
        <v>18</v>
      </c>
    </row>
    <row r="78" spans="2:12" x14ac:dyDescent="0.3">
      <c r="B78" s="26">
        <v>71</v>
      </c>
      <c r="C78" s="25">
        <v>44457</v>
      </c>
      <c r="D78" s="26" t="s">
        <v>10</v>
      </c>
      <c r="E78" s="26" t="s">
        <v>228</v>
      </c>
      <c r="F78" s="43" t="s">
        <v>229</v>
      </c>
      <c r="G78" s="43" t="s">
        <v>230</v>
      </c>
      <c r="H78" s="43">
        <v>0.30555555555555552</v>
      </c>
      <c r="I78" s="26" t="s">
        <v>31</v>
      </c>
      <c r="J78" s="27">
        <v>65.999999999999986</v>
      </c>
      <c r="K78" s="26" t="s">
        <v>64</v>
      </c>
      <c r="L78" s="26" t="s">
        <v>18</v>
      </c>
    </row>
    <row r="79" spans="2:12" x14ac:dyDescent="0.3">
      <c r="B79" s="26">
        <v>72</v>
      </c>
      <c r="C79" s="25">
        <v>44355</v>
      </c>
      <c r="D79" s="26" t="s">
        <v>8</v>
      </c>
      <c r="E79" s="26" t="s">
        <v>231</v>
      </c>
      <c r="F79" s="43" t="s">
        <v>55</v>
      </c>
      <c r="G79" s="43" t="s">
        <v>232</v>
      </c>
      <c r="H79" s="43">
        <v>0.28819444444444442</v>
      </c>
      <c r="I79" s="26" t="s">
        <v>31</v>
      </c>
      <c r="J79" s="27">
        <v>103.74999999999999</v>
      </c>
      <c r="K79" s="26" t="s">
        <v>117</v>
      </c>
      <c r="L79" s="26" t="s">
        <v>18</v>
      </c>
    </row>
    <row r="80" spans="2:12" x14ac:dyDescent="0.3">
      <c r="B80" s="26">
        <v>73</v>
      </c>
      <c r="C80" s="25">
        <v>44375</v>
      </c>
      <c r="D80" s="26" t="s">
        <v>10</v>
      </c>
      <c r="E80" s="26" t="s">
        <v>233</v>
      </c>
      <c r="F80" s="43" t="s">
        <v>98</v>
      </c>
      <c r="G80" s="43" t="s">
        <v>234</v>
      </c>
      <c r="H80" s="43">
        <v>0.21944444444444444</v>
      </c>
      <c r="I80" s="26" t="s">
        <v>31</v>
      </c>
      <c r="J80" s="27">
        <v>47.4</v>
      </c>
      <c r="K80" s="26" t="s">
        <v>117</v>
      </c>
      <c r="L80" s="26" t="s">
        <v>18</v>
      </c>
    </row>
    <row r="81" spans="2:12" x14ac:dyDescent="0.3">
      <c r="B81" s="26">
        <v>74</v>
      </c>
      <c r="C81" s="25">
        <v>44366</v>
      </c>
      <c r="D81" s="26" t="s">
        <v>8</v>
      </c>
      <c r="E81" s="26" t="s">
        <v>235</v>
      </c>
      <c r="F81" s="43" t="s">
        <v>236</v>
      </c>
      <c r="G81" s="43" t="s">
        <v>187</v>
      </c>
      <c r="H81" s="43">
        <v>8.0555555555555547E-2</v>
      </c>
      <c r="I81" s="26" t="s">
        <v>20</v>
      </c>
      <c r="J81" s="27">
        <v>28.999999999999996</v>
      </c>
      <c r="K81" s="26" t="s">
        <v>42</v>
      </c>
      <c r="L81" s="26" t="s">
        <v>18</v>
      </c>
    </row>
    <row r="82" spans="2:12" x14ac:dyDescent="0.3">
      <c r="B82" s="26">
        <v>75</v>
      </c>
      <c r="C82" s="25">
        <v>44351</v>
      </c>
      <c r="D82" s="26" t="s">
        <v>9</v>
      </c>
      <c r="E82" s="26" t="s">
        <v>237</v>
      </c>
      <c r="F82" s="43" t="s">
        <v>238</v>
      </c>
      <c r="G82" s="43" t="s">
        <v>80</v>
      </c>
      <c r="H82" s="43">
        <v>0.30138888888888887</v>
      </c>
      <c r="I82" s="26" t="s">
        <v>20</v>
      </c>
      <c r="J82" s="27">
        <v>86.799999999999983</v>
      </c>
      <c r="K82" s="26" t="s">
        <v>117</v>
      </c>
      <c r="L82" s="26" t="s">
        <v>18</v>
      </c>
    </row>
    <row r="83" spans="2:12" x14ac:dyDescent="0.3">
      <c r="B83" s="26">
        <v>76</v>
      </c>
      <c r="C83" s="25">
        <v>44420</v>
      </c>
      <c r="D83" s="26" t="s">
        <v>8</v>
      </c>
      <c r="E83" s="26" t="s">
        <v>239</v>
      </c>
      <c r="F83" s="43" t="s">
        <v>240</v>
      </c>
      <c r="G83" s="43" t="s">
        <v>241</v>
      </c>
      <c r="H83" s="43">
        <v>0.12986111111111115</v>
      </c>
      <c r="I83" s="26" t="s">
        <v>20</v>
      </c>
      <c r="J83" s="27">
        <v>46.750000000000014</v>
      </c>
      <c r="K83" s="26" t="s">
        <v>106</v>
      </c>
      <c r="L83" s="26" t="s">
        <v>18</v>
      </c>
    </row>
    <row r="84" spans="2:12" x14ac:dyDescent="0.3">
      <c r="B84" s="26">
        <v>77</v>
      </c>
      <c r="C84" s="25">
        <v>44448</v>
      </c>
      <c r="D84" s="26" t="s">
        <v>10</v>
      </c>
      <c r="E84" s="26" t="s">
        <v>242</v>
      </c>
      <c r="F84" s="43" t="s">
        <v>243</v>
      </c>
      <c r="G84" s="43" t="s">
        <v>244</v>
      </c>
      <c r="H84" s="43">
        <v>0.16319444444444448</v>
      </c>
      <c r="I84" s="26" t="s">
        <v>20</v>
      </c>
      <c r="J84" s="27">
        <v>35.250000000000007</v>
      </c>
      <c r="K84" s="26" t="s">
        <v>134</v>
      </c>
      <c r="L84" s="26" t="s">
        <v>18</v>
      </c>
    </row>
    <row r="85" spans="2:12" x14ac:dyDescent="0.3">
      <c r="B85" s="26">
        <v>78</v>
      </c>
      <c r="C85" s="25">
        <v>44377</v>
      </c>
      <c r="D85" s="26" t="s">
        <v>8</v>
      </c>
      <c r="E85" s="26" t="s">
        <v>245</v>
      </c>
      <c r="F85" s="43" t="s">
        <v>139</v>
      </c>
      <c r="G85" s="43" t="s">
        <v>130</v>
      </c>
      <c r="H85" s="43">
        <v>0.2458333333333334</v>
      </c>
      <c r="I85" s="26" t="s">
        <v>31</v>
      </c>
      <c r="J85" s="27">
        <v>88.500000000000028</v>
      </c>
      <c r="K85" s="26" t="s">
        <v>106</v>
      </c>
      <c r="L85" s="26" t="s">
        <v>18</v>
      </c>
    </row>
    <row r="86" spans="2:12" x14ac:dyDescent="0.3">
      <c r="B86" s="26">
        <v>79</v>
      </c>
      <c r="C86" s="25">
        <v>44409</v>
      </c>
      <c r="D86" s="26" t="s">
        <v>10</v>
      </c>
      <c r="E86" s="26" t="s">
        <v>246</v>
      </c>
      <c r="F86" s="43" t="s">
        <v>247</v>
      </c>
      <c r="G86" s="43" t="s">
        <v>112</v>
      </c>
      <c r="H86" s="43">
        <v>1.0416666666666685E-2</v>
      </c>
      <c r="I86" s="26" t="s">
        <v>20</v>
      </c>
      <c r="J86" s="27">
        <v>2.250000000000004</v>
      </c>
      <c r="K86" s="26" t="s">
        <v>46</v>
      </c>
      <c r="L86" s="26" t="s">
        <v>18</v>
      </c>
    </row>
    <row r="87" spans="2:12" x14ac:dyDescent="0.3">
      <c r="B87" s="26">
        <v>80</v>
      </c>
      <c r="C87" s="25">
        <v>44400</v>
      </c>
      <c r="D87" s="26" t="s">
        <v>7</v>
      </c>
      <c r="E87" s="26" t="s">
        <v>248</v>
      </c>
      <c r="F87" s="43" t="s">
        <v>249</v>
      </c>
      <c r="G87" s="43" t="s">
        <v>250</v>
      </c>
      <c r="H87" s="43">
        <v>0.13194444444444448</v>
      </c>
      <c r="I87" s="26" t="s">
        <v>20</v>
      </c>
      <c r="J87" s="27">
        <v>63.33333333333335</v>
      </c>
      <c r="K87" s="26" t="s">
        <v>17</v>
      </c>
      <c r="L87" s="26" t="s">
        <v>18</v>
      </c>
    </row>
    <row r="88" spans="2:12" x14ac:dyDescent="0.3">
      <c r="B88" s="26">
        <v>81</v>
      </c>
      <c r="C88" s="25">
        <v>44441</v>
      </c>
      <c r="D88" s="26" t="s">
        <v>9</v>
      </c>
      <c r="E88" s="26" t="s">
        <v>251</v>
      </c>
      <c r="F88" s="43" t="s">
        <v>252</v>
      </c>
      <c r="G88" s="43" t="s">
        <v>253</v>
      </c>
      <c r="H88" s="43">
        <v>0.30208333333333331</v>
      </c>
      <c r="I88" s="26" t="s">
        <v>20</v>
      </c>
      <c r="J88" s="27">
        <v>87</v>
      </c>
      <c r="K88" s="26" t="s">
        <v>24</v>
      </c>
      <c r="L88" s="26" t="s">
        <v>18</v>
      </c>
    </row>
    <row r="89" spans="2:12" x14ac:dyDescent="0.3">
      <c r="B89" s="26">
        <v>82</v>
      </c>
      <c r="C89" s="25">
        <v>44369</v>
      </c>
      <c r="D89" s="26" t="s">
        <v>10</v>
      </c>
      <c r="E89" s="26" t="s">
        <v>254</v>
      </c>
      <c r="F89" s="43" t="s">
        <v>173</v>
      </c>
      <c r="G89" s="43" t="s">
        <v>169</v>
      </c>
      <c r="H89" s="43">
        <v>8.8194444444444409E-2</v>
      </c>
      <c r="I89" s="26" t="s">
        <v>20</v>
      </c>
      <c r="J89" s="27">
        <v>19.049999999999994</v>
      </c>
      <c r="K89" s="26" t="s">
        <v>64</v>
      </c>
      <c r="L89" s="26" t="s">
        <v>18</v>
      </c>
    </row>
    <row r="90" spans="2:12" x14ac:dyDescent="0.3">
      <c r="B90" s="26">
        <v>83</v>
      </c>
      <c r="C90" s="25">
        <v>44387</v>
      </c>
      <c r="D90" s="26" t="s">
        <v>10</v>
      </c>
      <c r="E90" s="26" t="s">
        <v>255</v>
      </c>
      <c r="F90" s="43" t="s">
        <v>256</v>
      </c>
      <c r="G90" s="43" t="s">
        <v>257</v>
      </c>
      <c r="H90" s="43">
        <v>0.1555555555555555</v>
      </c>
      <c r="I90" s="26" t="s">
        <v>31</v>
      </c>
      <c r="J90" s="27">
        <v>33.599999999999987</v>
      </c>
      <c r="K90" s="26" t="s">
        <v>77</v>
      </c>
      <c r="L90" s="26" t="s">
        <v>18</v>
      </c>
    </row>
    <row r="91" spans="2:12" x14ac:dyDescent="0.3">
      <c r="B91" s="26">
        <v>84</v>
      </c>
      <c r="C91" s="25">
        <v>44399</v>
      </c>
      <c r="D91" s="26" t="s">
        <v>9</v>
      </c>
      <c r="E91" s="26" t="s">
        <v>258</v>
      </c>
      <c r="F91" s="43" t="s">
        <v>259</v>
      </c>
      <c r="G91" s="43" t="s">
        <v>260</v>
      </c>
      <c r="H91" s="43">
        <v>0.34861111111111104</v>
      </c>
      <c r="I91" s="26" t="s">
        <v>31</v>
      </c>
      <c r="J91" s="27">
        <v>100.39999999999998</v>
      </c>
      <c r="K91" s="26" t="s">
        <v>77</v>
      </c>
      <c r="L91" s="26" t="s">
        <v>18</v>
      </c>
    </row>
    <row r="92" spans="2:12" x14ac:dyDescent="0.3">
      <c r="B92" s="26">
        <v>85</v>
      </c>
      <c r="C92" s="25">
        <v>44457</v>
      </c>
      <c r="D92" s="26" t="s">
        <v>8</v>
      </c>
      <c r="E92" s="26" t="s">
        <v>261</v>
      </c>
      <c r="F92" s="43" t="s">
        <v>262</v>
      </c>
      <c r="G92" s="43" t="s">
        <v>95</v>
      </c>
      <c r="H92" s="43">
        <v>0.28750000000000003</v>
      </c>
      <c r="I92" s="26" t="s">
        <v>20</v>
      </c>
      <c r="J92" s="27">
        <v>103.5</v>
      </c>
      <c r="K92" s="26" t="s">
        <v>106</v>
      </c>
      <c r="L92" s="26" t="s">
        <v>18</v>
      </c>
    </row>
    <row r="93" spans="2:12" x14ac:dyDescent="0.3">
      <c r="B93" s="26">
        <v>86</v>
      </c>
      <c r="C93" s="25">
        <v>44440</v>
      </c>
      <c r="D93" s="26" t="s">
        <v>9</v>
      </c>
      <c r="E93" s="26" t="s">
        <v>263</v>
      </c>
      <c r="F93" s="43" t="s">
        <v>264</v>
      </c>
      <c r="G93" s="43" t="s">
        <v>265</v>
      </c>
      <c r="H93" s="43">
        <v>8.4722222222222199E-2</v>
      </c>
      <c r="I93" s="26" t="s">
        <v>20</v>
      </c>
      <c r="J93" s="27">
        <v>24.399999999999991</v>
      </c>
      <c r="K93" s="26" t="s">
        <v>117</v>
      </c>
      <c r="L93" s="26" t="s">
        <v>18</v>
      </c>
    </row>
    <row r="94" spans="2:12" x14ac:dyDescent="0.3">
      <c r="B94" s="26">
        <v>87</v>
      </c>
      <c r="C94" s="25">
        <v>44428</v>
      </c>
      <c r="D94" s="26" t="s">
        <v>9</v>
      </c>
      <c r="E94" s="26" t="s">
        <v>266</v>
      </c>
      <c r="F94" s="43" t="s">
        <v>267</v>
      </c>
      <c r="G94" s="43" t="s">
        <v>265</v>
      </c>
      <c r="H94" s="43">
        <v>0.25555555555555548</v>
      </c>
      <c r="I94" s="26" t="s">
        <v>20</v>
      </c>
      <c r="J94" s="27">
        <v>73.599999999999966</v>
      </c>
      <c r="K94" s="26" t="s">
        <v>117</v>
      </c>
      <c r="L94" s="26" t="s">
        <v>18</v>
      </c>
    </row>
    <row r="95" spans="2:12" x14ac:dyDescent="0.3">
      <c r="B95" s="26">
        <v>88</v>
      </c>
      <c r="C95" s="25">
        <v>44421</v>
      </c>
      <c r="D95" s="26" t="s">
        <v>9</v>
      </c>
      <c r="E95" s="26" t="s">
        <v>268</v>
      </c>
      <c r="F95" s="43" t="s">
        <v>269</v>
      </c>
      <c r="G95" s="43" t="s">
        <v>270</v>
      </c>
      <c r="H95" s="43">
        <v>0.23333333333333334</v>
      </c>
      <c r="I95" s="26" t="s">
        <v>20</v>
      </c>
      <c r="J95" s="27">
        <v>67.199999999999989</v>
      </c>
      <c r="K95" s="26" t="s">
        <v>24</v>
      </c>
      <c r="L95" s="26" t="s">
        <v>18</v>
      </c>
    </row>
    <row r="96" spans="2:12" x14ac:dyDescent="0.3">
      <c r="B96" s="26">
        <v>89</v>
      </c>
      <c r="C96" s="25">
        <v>44404</v>
      </c>
      <c r="D96" s="26" t="s">
        <v>8</v>
      </c>
      <c r="E96" s="26" t="s">
        <v>271</v>
      </c>
      <c r="F96" s="43" t="s">
        <v>272</v>
      </c>
      <c r="G96" s="43" t="s">
        <v>76</v>
      </c>
      <c r="H96" s="43">
        <v>0.23194444444444445</v>
      </c>
      <c r="I96" s="26" t="s">
        <v>20</v>
      </c>
      <c r="J96" s="27">
        <v>83.5</v>
      </c>
      <c r="K96" s="26" t="s">
        <v>96</v>
      </c>
      <c r="L96" s="26" t="s">
        <v>18</v>
      </c>
    </row>
    <row r="97" spans="2:12" x14ac:dyDescent="0.3">
      <c r="B97" s="26">
        <v>90</v>
      </c>
      <c r="C97" s="25">
        <v>44367</v>
      </c>
      <c r="D97" s="26" t="s">
        <v>9</v>
      </c>
      <c r="E97" s="26" t="s">
        <v>273</v>
      </c>
      <c r="F97" s="43" t="s">
        <v>274</v>
      </c>
      <c r="G97" s="43" t="s">
        <v>275</v>
      </c>
      <c r="H97" s="43">
        <v>0.17013888888888895</v>
      </c>
      <c r="I97" s="26" t="s">
        <v>31</v>
      </c>
      <c r="J97" s="27">
        <v>49.000000000000014</v>
      </c>
      <c r="K97" s="26" t="s">
        <v>117</v>
      </c>
      <c r="L97" s="26" t="s">
        <v>18</v>
      </c>
    </row>
    <row r="98" spans="2:12" x14ac:dyDescent="0.3">
      <c r="B98" s="26">
        <v>91</v>
      </c>
      <c r="C98" s="25">
        <v>44440</v>
      </c>
      <c r="D98" s="26" t="s">
        <v>7</v>
      </c>
      <c r="E98" s="26" t="s">
        <v>276</v>
      </c>
      <c r="F98" s="43" t="s">
        <v>277</v>
      </c>
      <c r="G98" s="43" t="s">
        <v>105</v>
      </c>
      <c r="H98" s="43">
        <v>0.16736111111111102</v>
      </c>
      <c r="I98" s="26" t="s">
        <v>31</v>
      </c>
      <c r="J98" s="27">
        <v>80.333333333333286</v>
      </c>
      <c r="K98" s="26" t="s">
        <v>77</v>
      </c>
      <c r="L98" s="26" t="s">
        <v>18</v>
      </c>
    </row>
    <row r="99" spans="2:12" x14ac:dyDescent="0.3">
      <c r="B99" s="26">
        <v>92</v>
      </c>
      <c r="C99" s="25">
        <v>44406</v>
      </c>
      <c r="D99" s="26" t="s">
        <v>9</v>
      </c>
      <c r="E99" s="26" t="s">
        <v>278</v>
      </c>
      <c r="F99" s="43" t="s">
        <v>243</v>
      </c>
      <c r="G99" s="43" t="s">
        <v>279</v>
      </c>
      <c r="H99" s="43">
        <v>0.12847222222222227</v>
      </c>
      <c r="I99" s="26" t="s">
        <v>31</v>
      </c>
      <c r="J99" s="27">
        <v>37.000000000000014</v>
      </c>
      <c r="K99" s="26" t="s">
        <v>49</v>
      </c>
      <c r="L99" s="26" t="s">
        <v>18</v>
      </c>
    </row>
    <row r="100" spans="2:12" x14ac:dyDescent="0.3">
      <c r="B100" s="26">
        <v>93</v>
      </c>
      <c r="C100" s="25">
        <v>44374</v>
      </c>
      <c r="D100" s="26" t="s">
        <v>7</v>
      </c>
      <c r="E100" s="26" t="s">
        <v>280</v>
      </c>
      <c r="F100" s="43" t="s">
        <v>281</v>
      </c>
      <c r="G100" s="43" t="s">
        <v>282</v>
      </c>
      <c r="H100" s="43">
        <v>0.19722222222222213</v>
      </c>
      <c r="I100" s="26" t="s">
        <v>20</v>
      </c>
      <c r="J100" s="27">
        <v>94.666666666666615</v>
      </c>
      <c r="K100" s="26" t="s">
        <v>117</v>
      </c>
      <c r="L100" s="26" t="s">
        <v>18</v>
      </c>
    </row>
    <row r="101" spans="2:12" x14ac:dyDescent="0.3">
      <c r="B101" s="26">
        <v>94</v>
      </c>
      <c r="C101" s="25">
        <v>44370</v>
      </c>
      <c r="D101" s="26" t="s">
        <v>9</v>
      </c>
      <c r="E101" s="26" t="s">
        <v>283</v>
      </c>
      <c r="F101" s="43" t="s">
        <v>284</v>
      </c>
      <c r="G101" s="43" t="s">
        <v>285</v>
      </c>
      <c r="H101" s="43">
        <v>0.19583333333333336</v>
      </c>
      <c r="I101" s="26" t="s">
        <v>31</v>
      </c>
      <c r="J101" s="27">
        <v>56.400000000000013</v>
      </c>
      <c r="K101" s="26" t="s">
        <v>35</v>
      </c>
      <c r="L101" s="26" t="s">
        <v>18</v>
      </c>
    </row>
    <row r="102" spans="2:12" x14ac:dyDescent="0.3">
      <c r="B102" s="26">
        <v>95</v>
      </c>
      <c r="C102" s="25">
        <v>44432</v>
      </c>
      <c r="D102" s="26" t="s">
        <v>8</v>
      </c>
      <c r="E102" s="26" t="s">
        <v>286</v>
      </c>
      <c r="F102" s="43" t="s">
        <v>287</v>
      </c>
      <c r="G102" s="43" t="s">
        <v>244</v>
      </c>
      <c r="H102" s="43">
        <v>0.21527777777777785</v>
      </c>
      <c r="I102" s="26" t="s">
        <v>20</v>
      </c>
      <c r="J102" s="27">
        <v>77.500000000000014</v>
      </c>
      <c r="K102" s="26" t="s">
        <v>35</v>
      </c>
      <c r="L102" s="26" t="s">
        <v>18</v>
      </c>
    </row>
    <row r="103" spans="2:12" x14ac:dyDescent="0.3">
      <c r="B103" s="26">
        <v>96</v>
      </c>
      <c r="C103" s="25">
        <v>44361</v>
      </c>
      <c r="D103" s="26" t="s">
        <v>9</v>
      </c>
      <c r="E103" s="26" t="s">
        <v>288</v>
      </c>
      <c r="F103" s="43" t="s">
        <v>289</v>
      </c>
      <c r="G103" s="43" t="s">
        <v>290</v>
      </c>
      <c r="H103" s="43">
        <v>0.17708333333333337</v>
      </c>
      <c r="I103" s="26" t="s">
        <v>20</v>
      </c>
      <c r="J103" s="27">
        <v>51.000000000000014</v>
      </c>
      <c r="K103" s="26" t="s">
        <v>77</v>
      </c>
      <c r="L103" s="26" t="s">
        <v>18</v>
      </c>
    </row>
    <row r="104" spans="2:12" x14ac:dyDescent="0.3">
      <c r="B104" s="26">
        <v>97</v>
      </c>
      <c r="C104" s="25">
        <v>44468</v>
      </c>
      <c r="D104" s="26" t="s">
        <v>10</v>
      </c>
      <c r="E104" s="26" t="s">
        <v>291</v>
      </c>
      <c r="F104" s="43" t="s">
        <v>292</v>
      </c>
      <c r="G104" s="43" t="s">
        <v>293</v>
      </c>
      <c r="H104" s="43">
        <v>4.0972222222222188E-2</v>
      </c>
      <c r="I104" s="26" t="s">
        <v>20</v>
      </c>
      <c r="J104" s="27">
        <v>8.8499999999999925</v>
      </c>
      <c r="K104" s="26" t="s">
        <v>106</v>
      </c>
      <c r="L104" s="26" t="s">
        <v>18</v>
      </c>
    </row>
    <row r="105" spans="2:12" x14ac:dyDescent="0.3">
      <c r="B105" s="26">
        <v>98</v>
      </c>
      <c r="C105" s="25">
        <v>44449</v>
      </c>
      <c r="D105" s="26" t="s">
        <v>9</v>
      </c>
      <c r="E105" s="26" t="s">
        <v>294</v>
      </c>
      <c r="F105" s="43" t="s">
        <v>295</v>
      </c>
      <c r="G105" s="43" t="s">
        <v>296</v>
      </c>
      <c r="H105" s="43">
        <v>0.2493055555555555</v>
      </c>
      <c r="I105" s="26" t="s">
        <v>20</v>
      </c>
      <c r="J105" s="27">
        <v>71.799999999999983</v>
      </c>
      <c r="K105" s="26" t="s">
        <v>90</v>
      </c>
      <c r="L105" s="26" t="s">
        <v>18</v>
      </c>
    </row>
    <row r="106" spans="2:12" x14ac:dyDescent="0.3">
      <c r="B106" s="26">
        <v>99</v>
      </c>
      <c r="C106" s="25">
        <v>44381</v>
      </c>
      <c r="D106" s="26" t="s">
        <v>10</v>
      </c>
      <c r="E106" s="26" t="s">
        <v>297</v>
      </c>
      <c r="F106" s="43" t="s">
        <v>298</v>
      </c>
      <c r="G106" s="43" t="s">
        <v>299</v>
      </c>
      <c r="H106" s="43">
        <v>0.24027777777777781</v>
      </c>
      <c r="I106" s="26" t="s">
        <v>31</v>
      </c>
      <c r="J106" s="27">
        <v>51.900000000000006</v>
      </c>
      <c r="K106" s="26" t="s">
        <v>64</v>
      </c>
      <c r="L106" s="26" t="s">
        <v>18</v>
      </c>
    </row>
    <row r="107" spans="2:12" x14ac:dyDescent="0.3">
      <c r="B107" s="26">
        <v>100</v>
      </c>
      <c r="C107" s="25">
        <v>44356</v>
      </c>
      <c r="D107" s="26" t="s">
        <v>8</v>
      </c>
      <c r="E107" s="26" t="s">
        <v>300</v>
      </c>
      <c r="F107" s="43" t="s">
        <v>301</v>
      </c>
      <c r="G107" s="43" t="s">
        <v>302</v>
      </c>
      <c r="H107" s="43">
        <v>0.18750000000000006</v>
      </c>
      <c r="I107" s="26" t="s">
        <v>20</v>
      </c>
      <c r="J107" s="27">
        <v>67.500000000000028</v>
      </c>
      <c r="K107" s="26" t="s">
        <v>17</v>
      </c>
      <c r="L107" s="26" t="s">
        <v>18</v>
      </c>
    </row>
    <row r="108" spans="2:12" x14ac:dyDescent="0.3">
      <c r="B108" s="26">
        <v>101</v>
      </c>
      <c r="C108" s="25">
        <v>44358</v>
      </c>
      <c r="D108" s="26" t="s">
        <v>9</v>
      </c>
      <c r="E108" s="26" t="s">
        <v>303</v>
      </c>
      <c r="F108" s="43" t="s">
        <v>98</v>
      </c>
      <c r="G108" s="43" t="s">
        <v>102</v>
      </c>
      <c r="H108" s="43">
        <v>0.17222222222222217</v>
      </c>
      <c r="I108" s="26" t="s">
        <v>31</v>
      </c>
      <c r="J108" s="27">
        <v>49.59999999999998</v>
      </c>
      <c r="K108" s="26" t="s">
        <v>42</v>
      </c>
      <c r="L108" s="26" t="s">
        <v>18</v>
      </c>
    </row>
    <row r="109" spans="2:12" x14ac:dyDescent="0.3">
      <c r="B109" s="26">
        <v>102</v>
      </c>
      <c r="C109" s="25">
        <v>44402</v>
      </c>
      <c r="D109" s="26" t="s">
        <v>10</v>
      </c>
      <c r="E109" s="26" t="s">
        <v>304</v>
      </c>
      <c r="F109" s="43" t="s">
        <v>305</v>
      </c>
      <c r="G109" s="43" t="s">
        <v>306</v>
      </c>
      <c r="H109" s="43">
        <v>0.2638888888888889</v>
      </c>
      <c r="I109" s="26" t="s">
        <v>20</v>
      </c>
      <c r="J109" s="27">
        <v>57.000000000000007</v>
      </c>
      <c r="K109" s="26" t="s">
        <v>53</v>
      </c>
      <c r="L109" s="26" t="s">
        <v>18</v>
      </c>
    </row>
    <row r="110" spans="2:12" x14ac:dyDescent="0.3">
      <c r="B110" s="26">
        <v>103</v>
      </c>
      <c r="C110" s="25">
        <v>44423</v>
      </c>
      <c r="D110" s="26" t="s">
        <v>7</v>
      </c>
      <c r="E110" s="26" t="s">
        <v>307</v>
      </c>
      <c r="F110" s="43" t="s">
        <v>259</v>
      </c>
      <c r="G110" s="43" t="s">
        <v>133</v>
      </c>
      <c r="H110" s="43">
        <v>0.20624999999999999</v>
      </c>
      <c r="I110" s="26" t="s">
        <v>31</v>
      </c>
      <c r="J110" s="27">
        <v>98.999999999999986</v>
      </c>
      <c r="K110" s="26" t="s">
        <v>77</v>
      </c>
      <c r="L110" s="26" t="s">
        <v>18</v>
      </c>
    </row>
    <row r="111" spans="2:12" x14ac:dyDescent="0.3">
      <c r="B111" s="26">
        <v>104</v>
      </c>
      <c r="C111" s="25">
        <v>44358</v>
      </c>
      <c r="D111" s="26" t="s">
        <v>9</v>
      </c>
      <c r="E111" s="26" t="s">
        <v>308</v>
      </c>
      <c r="F111" s="43" t="s">
        <v>309</v>
      </c>
      <c r="G111" s="43" t="s">
        <v>310</v>
      </c>
      <c r="H111" s="43">
        <v>0.34374999999999994</v>
      </c>
      <c r="I111" s="26" t="s">
        <v>31</v>
      </c>
      <c r="J111" s="27">
        <v>98.999999999999972</v>
      </c>
      <c r="K111" s="26" t="s">
        <v>64</v>
      </c>
      <c r="L111" s="26" t="s">
        <v>18</v>
      </c>
    </row>
    <row r="112" spans="2:12" x14ac:dyDescent="0.3">
      <c r="B112" s="26">
        <v>105</v>
      </c>
      <c r="C112" s="25">
        <v>44388</v>
      </c>
      <c r="D112" s="26" t="s">
        <v>9</v>
      </c>
      <c r="E112" s="26" t="s">
        <v>311</v>
      </c>
      <c r="F112" s="43" t="s">
        <v>249</v>
      </c>
      <c r="G112" s="43" t="s">
        <v>312</v>
      </c>
      <c r="H112" s="43">
        <v>0.22916666666666669</v>
      </c>
      <c r="I112" s="26" t="s">
        <v>20</v>
      </c>
      <c r="J112" s="27">
        <v>66</v>
      </c>
      <c r="K112" s="26" t="s">
        <v>96</v>
      </c>
      <c r="L112" s="26" t="s">
        <v>18</v>
      </c>
    </row>
    <row r="113" spans="2:12" x14ac:dyDescent="0.3">
      <c r="B113" s="26">
        <v>106</v>
      </c>
      <c r="C113" s="25">
        <v>44468</v>
      </c>
      <c r="D113" s="26" t="s">
        <v>8</v>
      </c>
      <c r="E113" s="26" t="s">
        <v>313</v>
      </c>
      <c r="F113" s="43" t="s">
        <v>195</v>
      </c>
      <c r="G113" s="43" t="s">
        <v>314</v>
      </c>
      <c r="H113" s="43">
        <v>0.13958333333333334</v>
      </c>
      <c r="I113" s="26" t="s">
        <v>31</v>
      </c>
      <c r="J113" s="27">
        <v>50.25</v>
      </c>
      <c r="K113" s="26" t="s">
        <v>49</v>
      </c>
      <c r="L113" s="26" t="s">
        <v>18</v>
      </c>
    </row>
    <row r="114" spans="2:12" x14ac:dyDescent="0.3">
      <c r="B114" s="26">
        <v>107</v>
      </c>
      <c r="C114" s="25">
        <v>44455</v>
      </c>
      <c r="D114" s="26" t="s">
        <v>9</v>
      </c>
      <c r="E114" s="26" t="s">
        <v>315</v>
      </c>
      <c r="F114" s="43" t="s">
        <v>316</v>
      </c>
      <c r="G114" s="43" t="s">
        <v>178</v>
      </c>
      <c r="H114" s="43">
        <v>0.18680555555555561</v>
      </c>
      <c r="I114" s="26" t="s">
        <v>31</v>
      </c>
      <c r="J114" s="27">
        <v>53.800000000000011</v>
      </c>
      <c r="K114" s="26" t="s">
        <v>106</v>
      </c>
      <c r="L114" s="26" t="s">
        <v>18</v>
      </c>
    </row>
    <row r="115" spans="2:12" x14ac:dyDescent="0.3">
      <c r="B115" s="26">
        <v>108</v>
      </c>
      <c r="C115" s="25">
        <v>44460</v>
      </c>
      <c r="D115" s="26" t="s">
        <v>10</v>
      </c>
      <c r="E115" s="26" t="s">
        <v>317</v>
      </c>
      <c r="F115" s="43" t="s">
        <v>318</v>
      </c>
      <c r="G115" s="43" t="s">
        <v>76</v>
      </c>
      <c r="H115" s="43">
        <v>7.9861111111111105E-2</v>
      </c>
      <c r="I115" s="26" t="s">
        <v>20</v>
      </c>
      <c r="J115" s="27">
        <v>17.25</v>
      </c>
      <c r="K115" s="26" t="s">
        <v>17</v>
      </c>
      <c r="L115" s="26" t="s">
        <v>18</v>
      </c>
    </row>
    <row r="116" spans="2:12" x14ac:dyDescent="0.3">
      <c r="B116" s="26">
        <v>109</v>
      </c>
      <c r="C116" s="25">
        <v>44433</v>
      </c>
      <c r="D116" s="26" t="s">
        <v>8</v>
      </c>
      <c r="E116" s="26" t="s">
        <v>319</v>
      </c>
      <c r="F116" s="43" t="s">
        <v>262</v>
      </c>
      <c r="G116" s="43" t="s">
        <v>320</v>
      </c>
      <c r="H116" s="43">
        <v>0.2590277777777778</v>
      </c>
      <c r="I116" s="26" t="s">
        <v>31</v>
      </c>
      <c r="J116" s="27">
        <v>93.25</v>
      </c>
      <c r="K116" s="26" t="s">
        <v>17</v>
      </c>
      <c r="L116" s="26" t="s">
        <v>18</v>
      </c>
    </row>
    <row r="117" spans="2:12" x14ac:dyDescent="0.3">
      <c r="B117" s="26">
        <v>110</v>
      </c>
      <c r="C117" s="25">
        <v>44415</v>
      </c>
      <c r="D117" s="26" t="s">
        <v>7</v>
      </c>
      <c r="E117" s="26" t="s">
        <v>321</v>
      </c>
      <c r="F117" s="43" t="s">
        <v>142</v>
      </c>
      <c r="G117" s="43" t="s">
        <v>322</v>
      </c>
      <c r="H117" s="43">
        <v>6.1111111111111172E-2</v>
      </c>
      <c r="I117" s="26" t="s">
        <v>31</v>
      </c>
      <c r="J117" s="27">
        <v>29.333333333333364</v>
      </c>
      <c r="K117" s="26" t="s">
        <v>42</v>
      </c>
      <c r="L117" s="26" t="s">
        <v>18</v>
      </c>
    </row>
    <row r="118" spans="2:12" x14ac:dyDescent="0.3">
      <c r="B118" s="26">
        <v>111</v>
      </c>
      <c r="C118" s="25">
        <v>44429</v>
      </c>
      <c r="D118" s="26" t="s">
        <v>10</v>
      </c>
      <c r="E118" s="26" t="s">
        <v>323</v>
      </c>
      <c r="F118" s="43" t="s">
        <v>324</v>
      </c>
      <c r="G118" s="43" t="s">
        <v>115</v>
      </c>
      <c r="H118" s="43">
        <v>0.2194444444444445</v>
      </c>
      <c r="I118" s="26" t="s">
        <v>31</v>
      </c>
      <c r="J118" s="27">
        <v>47.400000000000006</v>
      </c>
      <c r="K118" s="26" t="s">
        <v>96</v>
      </c>
      <c r="L118" s="26" t="s">
        <v>18</v>
      </c>
    </row>
    <row r="119" spans="2:12" x14ac:dyDescent="0.3">
      <c r="B119" s="26">
        <v>112</v>
      </c>
      <c r="C119" s="25">
        <v>44454</v>
      </c>
      <c r="D119" s="26" t="s">
        <v>8</v>
      </c>
      <c r="E119" s="26" t="s">
        <v>325</v>
      </c>
      <c r="F119" s="43" t="s">
        <v>326</v>
      </c>
      <c r="G119" s="43" t="s">
        <v>209</v>
      </c>
      <c r="H119" s="43">
        <v>0.15069444444444441</v>
      </c>
      <c r="I119" s="26" t="s">
        <v>20</v>
      </c>
      <c r="J119" s="27">
        <v>54.249999999999986</v>
      </c>
      <c r="K119" s="26" t="s">
        <v>17</v>
      </c>
      <c r="L119" s="26" t="s">
        <v>18</v>
      </c>
    </row>
    <row r="120" spans="2:12" x14ac:dyDescent="0.3">
      <c r="B120" s="26">
        <v>113</v>
      </c>
      <c r="C120" s="25">
        <v>44367</v>
      </c>
      <c r="D120" s="26" t="s">
        <v>8</v>
      </c>
      <c r="E120" s="26" t="s">
        <v>327</v>
      </c>
      <c r="F120" s="43" t="s">
        <v>305</v>
      </c>
      <c r="G120" s="43" t="s">
        <v>34</v>
      </c>
      <c r="H120" s="43">
        <v>0.20833333333333331</v>
      </c>
      <c r="I120" s="26" t="s">
        <v>20</v>
      </c>
      <c r="J120" s="27">
        <v>75</v>
      </c>
      <c r="K120" s="26" t="s">
        <v>57</v>
      </c>
      <c r="L120" s="26" t="s">
        <v>18</v>
      </c>
    </row>
    <row r="121" spans="2:12" x14ac:dyDescent="0.3">
      <c r="B121" s="26">
        <v>114</v>
      </c>
      <c r="C121" s="25">
        <v>44392</v>
      </c>
      <c r="D121" s="26" t="s">
        <v>7</v>
      </c>
      <c r="E121" s="26" t="s">
        <v>328</v>
      </c>
      <c r="F121" s="43" t="s">
        <v>329</v>
      </c>
      <c r="G121" s="43" t="s">
        <v>330</v>
      </c>
      <c r="H121" s="43">
        <v>0.22291666666666665</v>
      </c>
      <c r="I121" s="26" t="s">
        <v>31</v>
      </c>
      <c r="J121" s="27">
        <v>107</v>
      </c>
      <c r="K121" s="26" t="s">
        <v>64</v>
      </c>
      <c r="L121" s="26" t="s">
        <v>18</v>
      </c>
    </row>
    <row r="122" spans="2:12" x14ac:dyDescent="0.3">
      <c r="B122" s="26">
        <v>115</v>
      </c>
      <c r="C122" s="25">
        <v>44456</v>
      </c>
      <c r="D122" s="26" t="s">
        <v>8</v>
      </c>
      <c r="E122" s="26" t="s">
        <v>331</v>
      </c>
      <c r="F122" s="43" t="s">
        <v>332</v>
      </c>
      <c r="G122" s="43" t="s">
        <v>333</v>
      </c>
      <c r="H122" s="43">
        <v>0.30208333333333331</v>
      </c>
      <c r="I122" s="26" t="s">
        <v>20</v>
      </c>
      <c r="J122" s="27">
        <v>108.75</v>
      </c>
      <c r="K122" s="26" t="s">
        <v>24</v>
      </c>
      <c r="L122" s="26" t="s">
        <v>18</v>
      </c>
    </row>
    <row r="123" spans="2:12" x14ac:dyDescent="0.3">
      <c r="B123" s="26">
        <v>116</v>
      </c>
      <c r="C123" s="25">
        <v>44363</v>
      </c>
      <c r="D123" s="26" t="s">
        <v>9</v>
      </c>
      <c r="E123" s="26" t="s">
        <v>334</v>
      </c>
      <c r="F123" s="43" t="s">
        <v>335</v>
      </c>
      <c r="G123" s="43" t="s">
        <v>196</v>
      </c>
      <c r="H123" s="43">
        <v>0.21597222222222223</v>
      </c>
      <c r="I123" s="26" t="s">
        <v>20</v>
      </c>
      <c r="J123" s="27">
        <v>62.2</v>
      </c>
      <c r="K123" s="26" t="s">
        <v>42</v>
      </c>
      <c r="L123" s="26" t="s">
        <v>18</v>
      </c>
    </row>
    <row r="124" spans="2:12" x14ac:dyDescent="0.3">
      <c r="B124" s="26">
        <v>117</v>
      </c>
      <c r="C124" s="25">
        <v>44354</v>
      </c>
      <c r="D124" s="26" t="s">
        <v>9</v>
      </c>
      <c r="E124" s="26" t="s">
        <v>336</v>
      </c>
      <c r="F124" s="43" t="s">
        <v>337</v>
      </c>
      <c r="G124" s="43" t="s">
        <v>260</v>
      </c>
      <c r="H124" s="43">
        <v>0.19097222222222215</v>
      </c>
      <c r="I124" s="26" t="s">
        <v>31</v>
      </c>
      <c r="J124" s="27">
        <v>54.999999999999986</v>
      </c>
      <c r="K124" s="26" t="s">
        <v>106</v>
      </c>
      <c r="L124" s="26" t="s">
        <v>18</v>
      </c>
    </row>
    <row r="125" spans="2:12" x14ac:dyDescent="0.3">
      <c r="B125" s="26">
        <v>118</v>
      </c>
      <c r="C125" s="25">
        <v>44437</v>
      </c>
      <c r="D125" s="26" t="s">
        <v>7</v>
      </c>
      <c r="E125" s="26" t="s">
        <v>338</v>
      </c>
      <c r="F125" s="43" t="s">
        <v>339</v>
      </c>
      <c r="G125" s="43" t="s">
        <v>340</v>
      </c>
      <c r="H125" s="43">
        <v>0.17083333333333334</v>
      </c>
      <c r="I125" s="26" t="s">
        <v>31</v>
      </c>
      <c r="J125" s="27">
        <v>82</v>
      </c>
      <c r="K125" s="26" t="s">
        <v>49</v>
      </c>
      <c r="L125" s="26" t="s">
        <v>18</v>
      </c>
    </row>
    <row r="126" spans="2:12" x14ac:dyDescent="0.3">
      <c r="B126" s="26">
        <v>119</v>
      </c>
      <c r="C126" s="25">
        <v>44406</v>
      </c>
      <c r="D126" s="26" t="s">
        <v>8</v>
      </c>
      <c r="E126" s="26" t="s">
        <v>341</v>
      </c>
      <c r="F126" s="43" t="s">
        <v>342</v>
      </c>
      <c r="G126" s="43" t="s">
        <v>76</v>
      </c>
      <c r="H126" s="43">
        <v>0.17708333333333337</v>
      </c>
      <c r="I126" s="26" t="s">
        <v>20</v>
      </c>
      <c r="J126" s="27">
        <v>63.750000000000014</v>
      </c>
      <c r="K126" s="26" t="s">
        <v>117</v>
      </c>
      <c r="L126" s="26" t="s">
        <v>18</v>
      </c>
    </row>
    <row r="127" spans="2:12" x14ac:dyDescent="0.3">
      <c r="B127" s="26">
        <v>120</v>
      </c>
      <c r="C127" s="25">
        <v>44458</v>
      </c>
      <c r="D127" s="26" t="s">
        <v>8</v>
      </c>
      <c r="E127" s="26" t="s">
        <v>343</v>
      </c>
      <c r="F127" s="43" t="s">
        <v>284</v>
      </c>
      <c r="G127" s="43" t="s">
        <v>344</v>
      </c>
      <c r="H127" s="43">
        <v>0.11666666666666675</v>
      </c>
      <c r="I127" s="26" t="s">
        <v>20</v>
      </c>
      <c r="J127" s="27">
        <v>42.000000000000028</v>
      </c>
      <c r="K127" s="26" t="s">
        <v>106</v>
      </c>
      <c r="L127" s="26" t="s">
        <v>18</v>
      </c>
    </row>
    <row r="128" spans="2:12" x14ac:dyDescent="0.3">
      <c r="B128" s="26">
        <v>121</v>
      </c>
      <c r="C128" s="25">
        <v>44430</v>
      </c>
      <c r="D128" s="26" t="s">
        <v>9</v>
      </c>
      <c r="E128" s="26" t="s">
        <v>345</v>
      </c>
      <c r="F128" s="43" t="s">
        <v>346</v>
      </c>
      <c r="G128" s="43" t="s">
        <v>347</v>
      </c>
      <c r="H128" s="43">
        <v>0.15972222222222221</v>
      </c>
      <c r="I128" s="26" t="s">
        <v>31</v>
      </c>
      <c r="J128" s="27">
        <v>46</v>
      </c>
      <c r="K128" s="26" t="s">
        <v>53</v>
      </c>
      <c r="L128" s="26" t="s">
        <v>18</v>
      </c>
    </row>
    <row r="129" spans="2:12" x14ac:dyDescent="0.3">
      <c r="B129" s="26">
        <v>122</v>
      </c>
      <c r="C129" s="25">
        <v>44418</v>
      </c>
      <c r="D129" s="26" t="s">
        <v>10</v>
      </c>
      <c r="E129" s="26" t="s">
        <v>348</v>
      </c>
      <c r="F129" s="43" t="s">
        <v>349</v>
      </c>
      <c r="G129" s="43" t="s">
        <v>350</v>
      </c>
      <c r="H129" s="43">
        <v>0.31736111111111104</v>
      </c>
      <c r="I129" s="26" t="s">
        <v>31</v>
      </c>
      <c r="J129" s="27">
        <v>68.549999999999983</v>
      </c>
      <c r="K129" s="26" t="s">
        <v>17</v>
      </c>
      <c r="L129" s="26" t="s">
        <v>18</v>
      </c>
    </row>
    <row r="130" spans="2:12" x14ac:dyDescent="0.3">
      <c r="B130" s="26">
        <v>123</v>
      </c>
      <c r="C130" s="25">
        <v>44436</v>
      </c>
      <c r="D130" s="26" t="s">
        <v>9</v>
      </c>
      <c r="E130" s="26" t="s">
        <v>351</v>
      </c>
      <c r="F130" s="43" t="s">
        <v>352</v>
      </c>
      <c r="G130" s="43" t="s">
        <v>145</v>
      </c>
      <c r="H130" s="43">
        <v>0.20138888888888895</v>
      </c>
      <c r="I130" s="26" t="s">
        <v>20</v>
      </c>
      <c r="J130" s="27">
        <v>58.000000000000014</v>
      </c>
      <c r="K130" s="26" t="s">
        <v>96</v>
      </c>
      <c r="L130" s="26" t="s">
        <v>18</v>
      </c>
    </row>
    <row r="131" spans="2:12" x14ac:dyDescent="0.3">
      <c r="B131" s="26">
        <v>124</v>
      </c>
      <c r="C131" s="25">
        <v>44428</v>
      </c>
      <c r="D131" s="26" t="s">
        <v>7</v>
      </c>
      <c r="E131" s="26" t="s">
        <v>353</v>
      </c>
      <c r="F131" s="43" t="s">
        <v>159</v>
      </c>
      <c r="G131" s="43" t="s">
        <v>354</v>
      </c>
      <c r="H131" s="43">
        <v>0.19027777777777771</v>
      </c>
      <c r="I131" s="26" t="s">
        <v>20</v>
      </c>
      <c r="J131" s="27">
        <v>91.333333333333286</v>
      </c>
      <c r="K131" s="26" t="s">
        <v>77</v>
      </c>
      <c r="L131" s="26" t="s">
        <v>18</v>
      </c>
    </row>
    <row r="132" spans="2:12" x14ac:dyDescent="0.3">
      <c r="B132" s="26">
        <v>125</v>
      </c>
      <c r="C132" s="25">
        <v>44456</v>
      </c>
      <c r="D132" s="26" t="s">
        <v>10</v>
      </c>
      <c r="E132" s="26" t="s">
        <v>355</v>
      </c>
      <c r="F132" s="43" t="s">
        <v>356</v>
      </c>
      <c r="G132" s="43" t="s">
        <v>357</v>
      </c>
      <c r="H132" s="43">
        <v>0.28125</v>
      </c>
      <c r="I132" s="26" t="s">
        <v>20</v>
      </c>
      <c r="J132" s="27">
        <v>60.75</v>
      </c>
      <c r="K132" s="26" t="s">
        <v>77</v>
      </c>
      <c r="L132" s="26" t="s">
        <v>18</v>
      </c>
    </row>
    <row r="133" spans="2:12" x14ac:dyDescent="0.3">
      <c r="B133" s="26">
        <v>126</v>
      </c>
      <c r="C133" s="25">
        <v>44367</v>
      </c>
      <c r="D133" s="26" t="s">
        <v>9</v>
      </c>
      <c r="E133" s="26" t="s">
        <v>358</v>
      </c>
      <c r="F133" s="43" t="s">
        <v>26</v>
      </c>
      <c r="G133" s="43" t="s">
        <v>201</v>
      </c>
      <c r="H133" s="43">
        <v>0.18611111111111117</v>
      </c>
      <c r="I133" s="26" t="s">
        <v>31</v>
      </c>
      <c r="J133" s="27">
        <v>53.600000000000023</v>
      </c>
      <c r="K133" s="26" t="s">
        <v>117</v>
      </c>
      <c r="L133" s="26" t="s">
        <v>18</v>
      </c>
    </row>
    <row r="134" spans="2:12" x14ac:dyDescent="0.3">
      <c r="B134" s="26">
        <v>127</v>
      </c>
      <c r="C134" s="25">
        <v>44407</v>
      </c>
      <c r="D134" s="26" t="s">
        <v>10</v>
      </c>
      <c r="E134" s="26" t="s">
        <v>359</v>
      </c>
      <c r="F134" s="43" t="s">
        <v>360</v>
      </c>
      <c r="G134" s="43" t="s">
        <v>253</v>
      </c>
      <c r="H134" s="43">
        <v>0.24374999999999997</v>
      </c>
      <c r="I134" s="26" t="s">
        <v>20</v>
      </c>
      <c r="J134" s="27">
        <v>52.65</v>
      </c>
      <c r="K134" s="26" t="s">
        <v>96</v>
      </c>
      <c r="L134" s="26" t="s">
        <v>18</v>
      </c>
    </row>
    <row r="135" spans="2:12" x14ac:dyDescent="0.3">
      <c r="B135" s="26">
        <v>128</v>
      </c>
      <c r="C135" s="25">
        <v>44385</v>
      </c>
      <c r="D135" s="26" t="s">
        <v>10</v>
      </c>
      <c r="E135" s="26" t="s">
        <v>361</v>
      </c>
      <c r="F135" s="43" t="s">
        <v>362</v>
      </c>
      <c r="G135" s="43" t="s">
        <v>363</v>
      </c>
      <c r="H135" s="43">
        <v>0.1569444444444445</v>
      </c>
      <c r="I135" s="26" t="s">
        <v>20</v>
      </c>
      <c r="J135" s="27">
        <v>33.900000000000013</v>
      </c>
      <c r="K135" s="26" t="s">
        <v>90</v>
      </c>
      <c r="L135" s="26" t="s">
        <v>18</v>
      </c>
    </row>
    <row r="136" spans="2:12" x14ac:dyDescent="0.3">
      <c r="B136" s="26">
        <v>129</v>
      </c>
      <c r="C136" s="25">
        <v>44393</v>
      </c>
      <c r="D136" s="26" t="s">
        <v>10</v>
      </c>
      <c r="E136" s="26" t="s">
        <v>364</v>
      </c>
      <c r="F136" s="43" t="s">
        <v>365</v>
      </c>
      <c r="G136" s="43" t="s">
        <v>299</v>
      </c>
      <c r="H136" s="43">
        <v>0.23055555555555557</v>
      </c>
      <c r="I136" s="26" t="s">
        <v>20</v>
      </c>
      <c r="J136" s="27">
        <v>49.8</v>
      </c>
      <c r="K136" s="26" t="s">
        <v>24</v>
      </c>
      <c r="L136" s="26" t="s">
        <v>18</v>
      </c>
    </row>
    <row r="137" spans="2:12" x14ac:dyDescent="0.3">
      <c r="B137" s="26">
        <v>130</v>
      </c>
      <c r="C137" s="25">
        <v>44419</v>
      </c>
      <c r="D137" s="26" t="s">
        <v>7</v>
      </c>
      <c r="E137" s="26" t="s">
        <v>366</v>
      </c>
      <c r="F137" s="43" t="s">
        <v>365</v>
      </c>
      <c r="G137" s="43" t="s">
        <v>367</v>
      </c>
      <c r="H137" s="43">
        <v>0.27638888888888885</v>
      </c>
      <c r="I137" s="26" t="s">
        <v>31</v>
      </c>
      <c r="J137" s="27">
        <v>132.66666666666666</v>
      </c>
      <c r="K137" s="26" t="s">
        <v>106</v>
      </c>
      <c r="L137" s="26" t="s">
        <v>18</v>
      </c>
    </row>
    <row r="138" spans="2:12" x14ac:dyDescent="0.3">
      <c r="B138" s="26">
        <v>131</v>
      </c>
      <c r="C138" s="25">
        <v>44360</v>
      </c>
      <c r="D138" s="26" t="s">
        <v>9</v>
      </c>
      <c r="E138" s="26" t="s">
        <v>368</v>
      </c>
      <c r="F138" s="43" t="s">
        <v>369</v>
      </c>
      <c r="G138" s="43" t="s">
        <v>181</v>
      </c>
      <c r="H138" s="43">
        <v>0.10833333333333334</v>
      </c>
      <c r="I138" s="26" t="s">
        <v>31</v>
      </c>
      <c r="J138" s="27">
        <v>31.200000000000003</v>
      </c>
      <c r="K138" s="26" t="s">
        <v>117</v>
      </c>
      <c r="L138" s="26" t="s">
        <v>18</v>
      </c>
    </row>
    <row r="139" spans="2:12" x14ac:dyDescent="0.3">
      <c r="B139" s="26">
        <v>132</v>
      </c>
      <c r="C139" s="25">
        <v>44350</v>
      </c>
      <c r="D139" s="26" t="s">
        <v>8</v>
      </c>
      <c r="E139" s="26" t="s">
        <v>370</v>
      </c>
      <c r="F139" s="43" t="s">
        <v>82</v>
      </c>
      <c r="G139" s="43" t="s">
        <v>371</v>
      </c>
      <c r="H139" s="43">
        <v>0.32152777777777786</v>
      </c>
      <c r="I139" s="26" t="s">
        <v>31</v>
      </c>
      <c r="J139" s="27">
        <v>115.75000000000003</v>
      </c>
      <c r="K139" s="26" t="s">
        <v>35</v>
      </c>
      <c r="L139" s="26" t="s">
        <v>18</v>
      </c>
    </row>
    <row r="140" spans="2:12" x14ac:dyDescent="0.3">
      <c r="B140" s="26">
        <v>133</v>
      </c>
      <c r="C140" s="25">
        <v>44424</v>
      </c>
      <c r="D140" s="26" t="s">
        <v>8</v>
      </c>
      <c r="E140" s="26" t="s">
        <v>372</v>
      </c>
      <c r="F140" s="43" t="s">
        <v>75</v>
      </c>
      <c r="G140" s="43" t="s">
        <v>373</v>
      </c>
      <c r="H140" s="43">
        <v>0.2229166666666666</v>
      </c>
      <c r="I140" s="26" t="s">
        <v>31</v>
      </c>
      <c r="J140" s="27">
        <v>80.249999999999972</v>
      </c>
      <c r="K140" s="26" t="s">
        <v>53</v>
      </c>
      <c r="L140" s="26" t="s">
        <v>18</v>
      </c>
    </row>
    <row r="141" spans="2:12" x14ac:dyDescent="0.3">
      <c r="B141" s="26">
        <v>134</v>
      </c>
      <c r="C141" s="25">
        <v>44406</v>
      </c>
      <c r="D141" s="26" t="s">
        <v>7</v>
      </c>
      <c r="E141" s="26" t="s">
        <v>374</v>
      </c>
      <c r="F141" s="43" t="s">
        <v>375</v>
      </c>
      <c r="G141" s="43" t="s">
        <v>347</v>
      </c>
      <c r="H141" s="43">
        <v>0.29722222222222217</v>
      </c>
      <c r="I141" s="26" t="s">
        <v>31</v>
      </c>
      <c r="J141" s="27">
        <v>142.66666666666663</v>
      </c>
      <c r="K141" s="26" t="s">
        <v>57</v>
      </c>
      <c r="L141" s="26" t="s">
        <v>18</v>
      </c>
    </row>
    <row r="142" spans="2:12" x14ac:dyDescent="0.3">
      <c r="B142" s="26">
        <v>135</v>
      </c>
      <c r="C142" s="25">
        <v>44375</v>
      </c>
      <c r="D142" s="26" t="s">
        <v>8</v>
      </c>
      <c r="E142" s="26" t="s">
        <v>376</v>
      </c>
      <c r="F142" s="43" t="s">
        <v>377</v>
      </c>
      <c r="G142" s="43" t="s">
        <v>209</v>
      </c>
      <c r="H142" s="43">
        <v>0.16666666666666669</v>
      </c>
      <c r="I142" s="26" t="s">
        <v>20</v>
      </c>
      <c r="J142" s="27">
        <v>60</v>
      </c>
      <c r="K142" s="26" t="s">
        <v>96</v>
      </c>
      <c r="L142" s="26" t="s">
        <v>18</v>
      </c>
    </row>
    <row r="143" spans="2:12" x14ac:dyDescent="0.3">
      <c r="B143" s="26">
        <v>136</v>
      </c>
      <c r="C143" s="25">
        <v>44463</v>
      </c>
      <c r="D143" s="26" t="s">
        <v>10</v>
      </c>
      <c r="E143" s="26" t="s">
        <v>378</v>
      </c>
      <c r="F143" s="43" t="s">
        <v>92</v>
      </c>
      <c r="G143" s="43" t="s">
        <v>379</v>
      </c>
      <c r="H143" s="43">
        <v>0.12916666666666665</v>
      </c>
      <c r="I143" s="26" t="s">
        <v>31</v>
      </c>
      <c r="J143" s="27">
        <v>27.9</v>
      </c>
      <c r="K143" s="26" t="s">
        <v>96</v>
      </c>
      <c r="L143" s="26" t="s">
        <v>18</v>
      </c>
    </row>
    <row r="144" spans="2:12" x14ac:dyDescent="0.3">
      <c r="B144" s="26">
        <v>137</v>
      </c>
      <c r="C144" s="25">
        <v>44437</v>
      </c>
      <c r="D144" s="26" t="s">
        <v>10</v>
      </c>
      <c r="E144" s="26" t="s">
        <v>380</v>
      </c>
      <c r="F144" s="43" t="s">
        <v>381</v>
      </c>
      <c r="G144" s="43" t="s">
        <v>105</v>
      </c>
      <c r="H144" s="43">
        <v>0.20138888888888878</v>
      </c>
      <c r="I144" s="26" t="s">
        <v>20</v>
      </c>
      <c r="J144" s="27">
        <v>43.499999999999972</v>
      </c>
      <c r="K144" s="26" t="s">
        <v>35</v>
      </c>
      <c r="L144" s="26" t="s">
        <v>18</v>
      </c>
    </row>
    <row r="145" spans="2:12" x14ac:dyDescent="0.3">
      <c r="B145" s="26">
        <v>138</v>
      </c>
      <c r="C145" s="25">
        <v>44382</v>
      </c>
      <c r="D145" s="26" t="s">
        <v>10</v>
      </c>
      <c r="E145" s="26" t="s">
        <v>382</v>
      </c>
      <c r="F145" s="43" t="s">
        <v>132</v>
      </c>
      <c r="G145" s="43" t="s">
        <v>383</v>
      </c>
      <c r="H145" s="43">
        <v>0.30069444444444443</v>
      </c>
      <c r="I145" s="26" t="s">
        <v>20</v>
      </c>
      <c r="J145" s="27">
        <v>64.95</v>
      </c>
      <c r="K145" s="26" t="s">
        <v>134</v>
      </c>
      <c r="L145" s="26" t="s">
        <v>18</v>
      </c>
    </row>
    <row r="146" spans="2:12" x14ac:dyDescent="0.3">
      <c r="B146" s="26">
        <v>139</v>
      </c>
      <c r="C146" s="25">
        <v>44431</v>
      </c>
      <c r="D146" s="26" t="s">
        <v>8</v>
      </c>
      <c r="E146" s="26" t="s">
        <v>384</v>
      </c>
      <c r="F146" s="43" t="s">
        <v>385</v>
      </c>
      <c r="G146" s="43" t="s">
        <v>386</v>
      </c>
      <c r="H146" s="43">
        <v>0.19305555555555554</v>
      </c>
      <c r="I146" s="26" t="s">
        <v>20</v>
      </c>
      <c r="J146" s="27">
        <v>69.5</v>
      </c>
      <c r="K146" s="26" t="s">
        <v>117</v>
      </c>
      <c r="L146" s="26" t="s">
        <v>18</v>
      </c>
    </row>
    <row r="147" spans="2:12" x14ac:dyDescent="0.3">
      <c r="B147" s="26">
        <v>140</v>
      </c>
      <c r="C147" s="25">
        <v>44352</v>
      </c>
      <c r="D147" s="26" t="s">
        <v>8</v>
      </c>
      <c r="E147" s="26" t="s">
        <v>387</v>
      </c>
      <c r="F147" s="43" t="s">
        <v>48</v>
      </c>
      <c r="G147" s="43" t="s">
        <v>388</v>
      </c>
      <c r="H147" s="43">
        <v>8.4027777777777757E-2</v>
      </c>
      <c r="I147" s="26" t="s">
        <v>20</v>
      </c>
      <c r="J147" s="27">
        <v>30.249999999999993</v>
      </c>
      <c r="K147" s="26" t="s">
        <v>90</v>
      </c>
      <c r="L147" s="26" t="s">
        <v>18</v>
      </c>
    </row>
    <row r="148" spans="2:12" x14ac:dyDescent="0.3">
      <c r="B148" s="26">
        <v>141</v>
      </c>
      <c r="C148" s="25">
        <v>44413</v>
      </c>
      <c r="D148" s="26" t="s">
        <v>10</v>
      </c>
      <c r="E148" s="26" t="s">
        <v>389</v>
      </c>
      <c r="F148" s="43" t="s">
        <v>85</v>
      </c>
      <c r="G148" s="43" t="s">
        <v>38</v>
      </c>
      <c r="H148" s="43">
        <v>0.1034722222222223</v>
      </c>
      <c r="I148" s="26" t="s">
        <v>31</v>
      </c>
      <c r="J148" s="27">
        <v>22.350000000000016</v>
      </c>
      <c r="K148" s="26" t="s">
        <v>17</v>
      </c>
      <c r="L148" s="26" t="s">
        <v>18</v>
      </c>
    </row>
    <row r="149" spans="2:12" x14ac:dyDescent="0.3">
      <c r="B149" s="26">
        <v>142</v>
      </c>
      <c r="C149" s="25">
        <v>44444</v>
      </c>
      <c r="D149" s="26" t="s">
        <v>8</v>
      </c>
      <c r="E149" s="26" t="s">
        <v>390</v>
      </c>
      <c r="F149" s="43" t="s">
        <v>365</v>
      </c>
      <c r="G149" s="43" t="s">
        <v>299</v>
      </c>
      <c r="H149" s="43">
        <v>0.23055555555555557</v>
      </c>
      <c r="I149" s="26" t="s">
        <v>31</v>
      </c>
      <c r="J149" s="27">
        <v>83</v>
      </c>
      <c r="K149" s="26" t="s">
        <v>49</v>
      </c>
      <c r="L149" s="26" t="s">
        <v>18</v>
      </c>
    </row>
    <row r="150" spans="2:12" x14ac:dyDescent="0.3">
      <c r="B150" s="26">
        <v>143</v>
      </c>
      <c r="C150" s="25">
        <v>44428</v>
      </c>
      <c r="D150" s="26" t="s">
        <v>7</v>
      </c>
      <c r="E150" s="26" t="s">
        <v>391</v>
      </c>
      <c r="F150" s="43" t="s">
        <v>392</v>
      </c>
      <c r="G150" s="43" t="s">
        <v>393</v>
      </c>
      <c r="H150" s="43">
        <v>0.13541666666666669</v>
      </c>
      <c r="I150" s="26" t="s">
        <v>31</v>
      </c>
      <c r="J150" s="27">
        <v>65.000000000000014</v>
      </c>
      <c r="K150" s="26" t="s">
        <v>90</v>
      </c>
      <c r="L150" s="26" t="s">
        <v>18</v>
      </c>
    </row>
    <row r="151" spans="2:12" x14ac:dyDescent="0.3">
      <c r="B151" s="26">
        <v>144</v>
      </c>
      <c r="C151" s="25">
        <v>44407</v>
      </c>
      <c r="D151" s="26" t="s">
        <v>9</v>
      </c>
      <c r="E151" s="26" t="s">
        <v>394</v>
      </c>
      <c r="F151" s="43" t="s">
        <v>147</v>
      </c>
      <c r="G151" s="43" t="s">
        <v>395</v>
      </c>
      <c r="H151" s="43">
        <v>0.25624999999999998</v>
      </c>
      <c r="I151" s="26" t="s">
        <v>20</v>
      </c>
      <c r="J151" s="27">
        <v>73.8</v>
      </c>
      <c r="K151" s="26" t="s">
        <v>24</v>
      </c>
      <c r="L151" s="26" t="s">
        <v>18</v>
      </c>
    </row>
    <row r="152" spans="2:12" x14ac:dyDescent="0.3">
      <c r="B152" s="26">
        <v>145</v>
      </c>
      <c r="C152" s="25">
        <v>44403</v>
      </c>
      <c r="D152" s="26" t="s">
        <v>10</v>
      </c>
      <c r="E152" s="26" t="s">
        <v>396</v>
      </c>
      <c r="F152" s="43" t="s">
        <v>262</v>
      </c>
      <c r="G152" s="43" t="s">
        <v>397</v>
      </c>
      <c r="H152" s="43">
        <v>0.29861111111111122</v>
      </c>
      <c r="I152" s="26" t="s">
        <v>31</v>
      </c>
      <c r="J152" s="27">
        <v>64.500000000000028</v>
      </c>
      <c r="K152" s="26" t="s">
        <v>24</v>
      </c>
      <c r="L152" s="26" t="s">
        <v>18</v>
      </c>
    </row>
    <row r="153" spans="2:12" x14ac:dyDescent="0.3">
      <c r="B153" s="26">
        <v>146</v>
      </c>
      <c r="C153" s="25">
        <v>44375</v>
      </c>
      <c r="D153" s="26" t="s">
        <v>10</v>
      </c>
      <c r="E153" s="26" t="s">
        <v>398</v>
      </c>
      <c r="F153" s="43" t="s">
        <v>249</v>
      </c>
      <c r="G153" s="43" t="s">
        <v>151</v>
      </c>
      <c r="H153" s="43">
        <v>0.13333333333333336</v>
      </c>
      <c r="I153" s="26" t="s">
        <v>31</v>
      </c>
      <c r="J153" s="27">
        <v>28.800000000000004</v>
      </c>
      <c r="K153" s="26" t="s">
        <v>96</v>
      </c>
      <c r="L153" s="26" t="s">
        <v>18</v>
      </c>
    </row>
    <row r="154" spans="2:12" x14ac:dyDescent="0.3">
      <c r="B154" s="26">
        <v>147</v>
      </c>
      <c r="C154" s="25">
        <v>44425</v>
      </c>
      <c r="D154" s="26" t="s">
        <v>8</v>
      </c>
      <c r="E154" s="26" t="s">
        <v>399</v>
      </c>
      <c r="F154" s="43" t="s">
        <v>329</v>
      </c>
      <c r="G154" s="43" t="s">
        <v>400</v>
      </c>
      <c r="H154" s="43">
        <v>0.21458333333333335</v>
      </c>
      <c r="I154" s="26" t="s">
        <v>20</v>
      </c>
      <c r="J154" s="27">
        <v>77.25</v>
      </c>
      <c r="K154" s="26" t="s">
        <v>17</v>
      </c>
      <c r="L154" s="26" t="s">
        <v>18</v>
      </c>
    </row>
    <row r="155" spans="2:12" x14ac:dyDescent="0.3">
      <c r="B155" s="26">
        <v>148</v>
      </c>
      <c r="C155" s="25">
        <v>44441</v>
      </c>
      <c r="D155" s="26" t="s">
        <v>9</v>
      </c>
      <c r="E155" s="26" t="s">
        <v>401</v>
      </c>
      <c r="F155" s="43" t="s">
        <v>40</v>
      </c>
      <c r="G155" s="43" t="s">
        <v>402</v>
      </c>
      <c r="H155" s="43">
        <v>0.20555555555555555</v>
      </c>
      <c r="I155" s="26" t="s">
        <v>31</v>
      </c>
      <c r="J155" s="27">
        <v>59.2</v>
      </c>
      <c r="K155" s="26" t="s">
        <v>77</v>
      </c>
      <c r="L155" s="26" t="s">
        <v>18</v>
      </c>
    </row>
    <row r="156" spans="2:12" x14ac:dyDescent="0.3">
      <c r="B156" s="26">
        <v>149</v>
      </c>
      <c r="C156" s="25">
        <v>44396</v>
      </c>
      <c r="D156" s="26" t="s">
        <v>10</v>
      </c>
      <c r="E156" s="26" t="s">
        <v>403</v>
      </c>
      <c r="F156" s="43" t="s">
        <v>404</v>
      </c>
      <c r="G156" s="43" t="s">
        <v>405</v>
      </c>
      <c r="H156" s="43">
        <v>0.14930555555555547</v>
      </c>
      <c r="I156" s="26" t="s">
        <v>20</v>
      </c>
      <c r="J156" s="27">
        <v>32.249999999999979</v>
      </c>
      <c r="K156" s="26" t="s">
        <v>46</v>
      </c>
      <c r="L156" s="26" t="s">
        <v>18</v>
      </c>
    </row>
    <row r="157" spans="2:12" x14ac:dyDescent="0.3">
      <c r="B157" s="26">
        <v>150</v>
      </c>
      <c r="C157" s="25">
        <v>44411</v>
      </c>
      <c r="D157" s="26" t="s">
        <v>10</v>
      </c>
      <c r="E157" s="26" t="s">
        <v>406</v>
      </c>
      <c r="F157" s="43" t="s">
        <v>92</v>
      </c>
      <c r="G157" s="43" t="s">
        <v>407</v>
      </c>
      <c r="H157" s="43">
        <v>9.6527777777777768E-2</v>
      </c>
      <c r="I157" s="26" t="s">
        <v>31</v>
      </c>
      <c r="J157" s="27">
        <v>20.849999999999998</v>
      </c>
      <c r="K157" s="26" t="s">
        <v>64</v>
      </c>
      <c r="L157" s="26" t="s">
        <v>18</v>
      </c>
    </row>
    <row r="158" spans="2:12" x14ac:dyDescent="0.3">
      <c r="B158" s="26">
        <v>151</v>
      </c>
      <c r="C158" s="25">
        <v>44374</v>
      </c>
      <c r="D158" s="26" t="s">
        <v>9</v>
      </c>
      <c r="E158" s="26" t="s">
        <v>408</v>
      </c>
      <c r="F158" s="43" t="s">
        <v>192</v>
      </c>
      <c r="G158" s="43" t="s">
        <v>409</v>
      </c>
      <c r="H158" s="43">
        <v>0.11874999999999997</v>
      </c>
      <c r="I158" s="26" t="s">
        <v>20</v>
      </c>
      <c r="J158" s="27">
        <v>34.199999999999989</v>
      </c>
      <c r="K158" s="26" t="s">
        <v>49</v>
      </c>
      <c r="L158" s="26" t="s">
        <v>18</v>
      </c>
    </row>
    <row r="159" spans="2:12" x14ac:dyDescent="0.3">
      <c r="B159" s="26">
        <v>152</v>
      </c>
      <c r="C159" s="25">
        <v>44397</v>
      </c>
      <c r="D159" s="26" t="s">
        <v>7</v>
      </c>
      <c r="E159" s="26" t="s">
        <v>410</v>
      </c>
      <c r="F159" s="43" t="s">
        <v>411</v>
      </c>
      <c r="G159" s="43" t="s">
        <v>412</v>
      </c>
      <c r="H159" s="43">
        <v>0.20069444444444445</v>
      </c>
      <c r="I159" s="26" t="s">
        <v>31</v>
      </c>
      <c r="J159" s="27">
        <v>96.333333333333329</v>
      </c>
      <c r="K159" s="26" t="s">
        <v>117</v>
      </c>
      <c r="L159" s="26" t="s">
        <v>18</v>
      </c>
    </row>
    <row r="160" spans="2:12" x14ac:dyDescent="0.3">
      <c r="B160" s="26">
        <v>153</v>
      </c>
      <c r="C160" s="25">
        <v>44399</v>
      </c>
      <c r="D160" s="26" t="s">
        <v>9</v>
      </c>
      <c r="E160" s="26" t="s">
        <v>413</v>
      </c>
      <c r="F160" s="43" t="s">
        <v>414</v>
      </c>
      <c r="G160" s="43" t="s">
        <v>166</v>
      </c>
      <c r="H160" s="43">
        <v>0.11875000000000008</v>
      </c>
      <c r="I160" s="26" t="s">
        <v>20</v>
      </c>
      <c r="J160" s="27">
        <v>34.200000000000024</v>
      </c>
      <c r="K160" s="26" t="s">
        <v>57</v>
      </c>
      <c r="L160" s="26" t="s">
        <v>18</v>
      </c>
    </row>
    <row r="161" spans="2:12" x14ac:dyDescent="0.3">
      <c r="B161" s="26">
        <v>154</v>
      </c>
      <c r="C161" s="25">
        <v>44380</v>
      </c>
      <c r="D161" s="26" t="s">
        <v>8</v>
      </c>
      <c r="E161" s="26" t="s">
        <v>415</v>
      </c>
      <c r="F161" s="43" t="s">
        <v>309</v>
      </c>
      <c r="G161" s="43" t="s">
        <v>187</v>
      </c>
      <c r="H161" s="43">
        <v>0.23541666666666666</v>
      </c>
      <c r="I161" s="26" t="s">
        <v>20</v>
      </c>
      <c r="J161" s="27">
        <v>84.75</v>
      </c>
      <c r="K161" s="26" t="s">
        <v>24</v>
      </c>
      <c r="L161" s="26" t="s">
        <v>18</v>
      </c>
    </row>
    <row r="162" spans="2:12" x14ac:dyDescent="0.3">
      <c r="B162" s="26">
        <v>155</v>
      </c>
      <c r="C162" s="25">
        <v>44457</v>
      </c>
      <c r="D162" s="26" t="s">
        <v>7</v>
      </c>
      <c r="E162" s="26" t="s">
        <v>416</v>
      </c>
      <c r="F162" s="43" t="s">
        <v>414</v>
      </c>
      <c r="G162" s="43" t="s">
        <v>120</v>
      </c>
      <c r="H162" s="43">
        <v>0.26666666666666666</v>
      </c>
      <c r="I162" s="26" t="s">
        <v>31</v>
      </c>
      <c r="J162" s="27">
        <v>128</v>
      </c>
      <c r="K162" s="26" t="s">
        <v>46</v>
      </c>
      <c r="L162" s="26" t="s">
        <v>18</v>
      </c>
    </row>
    <row r="163" spans="2:12" x14ac:dyDescent="0.3">
      <c r="B163" s="26">
        <v>156</v>
      </c>
      <c r="C163" s="25">
        <v>44460</v>
      </c>
      <c r="D163" s="26" t="s">
        <v>9</v>
      </c>
      <c r="E163" s="26" t="s">
        <v>417</v>
      </c>
      <c r="F163" s="43" t="s">
        <v>418</v>
      </c>
      <c r="G163" s="43" t="s">
        <v>419</v>
      </c>
      <c r="H163" s="43">
        <v>0.10902777777777778</v>
      </c>
      <c r="I163" s="26" t="s">
        <v>20</v>
      </c>
      <c r="J163" s="27">
        <v>31.4</v>
      </c>
      <c r="K163" s="26" t="s">
        <v>64</v>
      </c>
      <c r="L163" s="26" t="s">
        <v>18</v>
      </c>
    </row>
    <row r="164" spans="2:12" x14ac:dyDescent="0.3">
      <c r="B164" s="26">
        <v>157</v>
      </c>
      <c r="C164" s="25">
        <v>44363</v>
      </c>
      <c r="D164" s="26" t="s">
        <v>10</v>
      </c>
      <c r="E164" s="26" t="s">
        <v>420</v>
      </c>
      <c r="F164" s="43" t="s">
        <v>421</v>
      </c>
      <c r="G164" s="43" t="s">
        <v>137</v>
      </c>
      <c r="H164" s="43">
        <v>7.152777777777769E-2</v>
      </c>
      <c r="I164" s="26" t="s">
        <v>20</v>
      </c>
      <c r="J164" s="27">
        <v>15.449999999999982</v>
      </c>
      <c r="K164" s="26" t="s">
        <v>46</v>
      </c>
      <c r="L164" s="26" t="s">
        <v>18</v>
      </c>
    </row>
    <row r="165" spans="2:12" x14ac:dyDescent="0.3">
      <c r="B165" s="26">
        <v>158</v>
      </c>
      <c r="C165" s="25">
        <v>44462</v>
      </c>
      <c r="D165" s="26" t="s">
        <v>8</v>
      </c>
      <c r="E165" s="26" t="s">
        <v>422</v>
      </c>
      <c r="F165" s="43" t="s">
        <v>423</v>
      </c>
      <c r="G165" s="43" t="s">
        <v>350</v>
      </c>
      <c r="H165" s="43">
        <v>0.26874999999999993</v>
      </c>
      <c r="I165" s="26" t="s">
        <v>31</v>
      </c>
      <c r="J165" s="27">
        <v>96.749999999999972</v>
      </c>
      <c r="K165" s="26" t="s">
        <v>35</v>
      </c>
      <c r="L165" s="26" t="s">
        <v>18</v>
      </c>
    </row>
    <row r="166" spans="2:12" x14ac:dyDescent="0.3">
      <c r="B166" s="26">
        <v>159</v>
      </c>
      <c r="C166" s="25">
        <v>44409</v>
      </c>
      <c r="D166" s="26" t="s">
        <v>10</v>
      </c>
      <c r="E166" s="26" t="s">
        <v>424</v>
      </c>
      <c r="F166" s="43" t="s">
        <v>425</v>
      </c>
      <c r="G166" s="43" t="s">
        <v>199</v>
      </c>
      <c r="H166" s="43">
        <v>6.6666666666666596E-2</v>
      </c>
      <c r="I166" s="26" t="s">
        <v>31</v>
      </c>
      <c r="J166" s="27">
        <v>14.399999999999984</v>
      </c>
      <c r="K166" s="26" t="s">
        <v>57</v>
      </c>
      <c r="L166" s="26" t="s">
        <v>18</v>
      </c>
    </row>
    <row r="167" spans="2:12" x14ac:dyDescent="0.3">
      <c r="B167" s="26">
        <v>160</v>
      </c>
      <c r="C167" s="25">
        <v>44399</v>
      </c>
      <c r="D167" s="26" t="s">
        <v>10</v>
      </c>
      <c r="E167" s="26" t="s">
        <v>426</v>
      </c>
      <c r="F167" s="43" t="s">
        <v>427</v>
      </c>
      <c r="G167" s="43" t="s">
        <v>379</v>
      </c>
      <c r="H167" s="43">
        <v>0.1020833333333333</v>
      </c>
      <c r="I167" s="26" t="s">
        <v>31</v>
      </c>
      <c r="J167" s="27">
        <v>22.049999999999994</v>
      </c>
      <c r="K167" s="26" t="s">
        <v>90</v>
      </c>
      <c r="L167" s="26" t="s">
        <v>18</v>
      </c>
    </row>
    <row r="168" spans="2:12" x14ac:dyDescent="0.3">
      <c r="B168" s="26">
        <v>161</v>
      </c>
      <c r="C168" s="25">
        <v>44409</v>
      </c>
      <c r="D168" s="26" t="s">
        <v>8</v>
      </c>
      <c r="E168" s="26" t="s">
        <v>428</v>
      </c>
      <c r="F168" s="43" t="s">
        <v>429</v>
      </c>
      <c r="G168" s="43" t="s">
        <v>367</v>
      </c>
      <c r="H168" s="43">
        <v>0.2638888888888889</v>
      </c>
      <c r="I168" s="26" t="s">
        <v>20</v>
      </c>
      <c r="J168" s="27">
        <v>95.000000000000014</v>
      </c>
      <c r="K168" s="26" t="s">
        <v>64</v>
      </c>
      <c r="L168" s="26" t="s">
        <v>18</v>
      </c>
    </row>
    <row r="169" spans="2:12" x14ac:dyDescent="0.3">
      <c r="B169" s="26">
        <v>162</v>
      </c>
      <c r="C169" s="25">
        <v>44378</v>
      </c>
      <c r="D169" s="26" t="s">
        <v>8</v>
      </c>
      <c r="E169" s="26" t="s">
        <v>430</v>
      </c>
      <c r="F169" s="43" t="s">
        <v>431</v>
      </c>
      <c r="G169" s="43" t="s">
        <v>432</v>
      </c>
      <c r="H169" s="43">
        <v>0.31736111111111109</v>
      </c>
      <c r="I169" s="26" t="s">
        <v>31</v>
      </c>
      <c r="J169" s="27">
        <v>114.25</v>
      </c>
      <c r="K169" s="26" t="s">
        <v>49</v>
      </c>
      <c r="L169" s="26" t="s">
        <v>18</v>
      </c>
    </row>
    <row r="170" spans="2:12" x14ac:dyDescent="0.3">
      <c r="B170" s="26">
        <v>163</v>
      </c>
      <c r="C170" s="25">
        <v>44419</v>
      </c>
      <c r="D170" s="26" t="s">
        <v>7</v>
      </c>
      <c r="E170" s="26" t="s">
        <v>433</v>
      </c>
      <c r="F170" s="43" t="s">
        <v>434</v>
      </c>
      <c r="G170" s="43" t="s">
        <v>435</v>
      </c>
      <c r="H170" s="43">
        <v>9.166666666666673E-2</v>
      </c>
      <c r="I170" s="26" t="s">
        <v>31</v>
      </c>
      <c r="J170" s="27">
        <v>44.000000000000028</v>
      </c>
      <c r="K170" s="26" t="s">
        <v>49</v>
      </c>
      <c r="L170" s="26" t="s">
        <v>18</v>
      </c>
    </row>
    <row r="171" spans="2:12" x14ac:dyDescent="0.3">
      <c r="B171" s="26">
        <v>164</v>
      </c>
      <c r="C171" s="25">
        <v>44436</v>
      </c>
      <c r="D171" s="26" t="s">
        <v>8</v>
      </c>
      <c r="E171" s="26" t="s">
        <v>436</v>
      </c>
      <c r="F171" s="43" t="s">
        <v>437</v>
      </c>
      <c r="G171" s="43" t="s">
        <v>253</v>
      </c>
      <c r="H171" s="43">
        <v>0.29097222222222219</v>
      </c>
      <c r="I171" s="26" t="s">
        <v>20</v>
      </c>
      <c r="J171" s="27">
        <v>104.74999999999999</v>
      </c>
      <c r="K171" s="26" t="s">
        <v>90</v>
      </c>
      <c r="L171" s="26" t="s">
        <v>18</v>
      </c>
    </row>
    <row r="172" spans="2:12" x14ac:dyDescent="0.3">
      <c r="B172" s="26">
        <v>165</v>
      </c>
      <c r="C172" s="25">
        <v>44412</v>
      </c>
      <c r="D172" s="26" t="s">
        <v>10</v>
      </c>
      <c r="E172" s="26" t="s">
        <v>438</v>
      </c>
      <c r="F172" s="43" t="s">
        <v>439</v>
      </c>
      <c r="G172" s="43" t="s">
        <v>440</v>
      </c>
      <c r="H172" s="43">
        <v>9.1666666666666619E-2</v>
      </c>
      <c r="I172" s="26" t="s">
        <v>20</v>
      </c>
      <c r="J172" s="27">
        <v>19.79999999999999</v>
      </c>
      <c r="K172" s="26" t="s">
        <v>17</v>
      </c>
      <c r="L172" s="26" t="s">
        <v>18</v>
      </c>
    </row>
    <row r="173" spans="2:12" x14ac:dyDescent="0.3">
      <c r="B173" s="26">
        <v>166</v>
      </c>
      <c r="C173" s="25">
        <v>44467</v>
      </c>
      <c r="D173" s="26" t="s">
        <v>7</v>
      </c>
      <c r="E173" s="26" t="s">
        <v>441</v>
      </c>
      <c r="F173" s="43" t="s">
        <v>442</v>
      </c>
      <c r="G173" s="43" t="s">
        <v>443</v>
      </c>
      <c r="H173" s="43">
        <v>0.21041666666666664</v>
      </c>
      <c r="I173" s="26" t="s">
        <v>31</v>
      </c>
      <c r="J173" s="27">
        <v>100.99999999999997</v>
      </c>
      <c r="K173" s="26" t="s">
        <v>49</v>
      </c>
      <c r="L173" s="26" t="s">
        <v>18</v>
      </c>
    </row>
    <row r="174" spans="2:12" x14ac:dyDescent="0.3">
      <c r="B174" s="26">
        <v>167</v>
      </c>
      <c r="C174" s="25">
        <v>44418</v>
      </c>
      <c r="D174" s="26" t="s">
        <v>10</v>
      </c>
      <c r="E174" s="26" t="s">
        <v>444</v>
      </c>
      <c r="F174" s="43" t="s">
        <v>262</v>
      </c>
      <c r="G174" s="43" t="s">
        <v>445</v>
      </c>
      <c r="H174" s="43">
        <v>0.26041666666666669</v>
      </c>
      <c r="I174" s="26" t="s">
        <v>20</v>
      </c>
      <c r="J174" s="27">
        <v>56.25</v>
      </c>
      <c r="K174" s="26" t="s">
        <v>53</v>
      </c>
      <c r="L174" s="26" t="s">
        <v>18</v>
      </c>
    </row>
    <row r="175" spans="2:12" x14ac:dyDescent="0.3">
      <c r="B175" s="26">
        <v>168</v>
      </c>
      <c r="C175" s="25">
        <v>44449</v>
      </c>
      <c r="D175" s="26" t="s">
        <v>8</v>
      </c>
      <c r="E175" s="26" t="s">
        <v>446</v>
      </c>
      <c r="F175" s="43" t="s">
        <v>447</v>
      </c>
      <c r="G175" s="43" t="s">
        <v>290</v>
      </c>
      <c r="H175" s="43">
        <v>0.2</v>
      </c>
      <c r="I175" s="26" t="s">
        <v>31</v>
      </c>
      <c r="J175" s="27">
        <v>72.000000000000014</v>
      </c>
      <c r="K175" s="26" t="s">
        <v>35</v>
      </c>
      <c r="L175" s="26" t="s">
        <v>18</v>
      </c>
    </row>
    <row r="176" spans="2:12" x14ac:dyDescent="0.3">
      <c r="B176" s="26">
        <v>169</v>
      </c>
      <c r="C176" s="25">
        <v>44457</v>
      </c>
      <c r="D176" s="26" t="s">
        <v>10</v>
      </c>
      <c r="E176" s="26" t="s">
        <v>448</v>
      </c>
      <c r="F176" s="43" t="s">
        <v>449</v>
      </c>
      <c r="G176" s="43" t="s">
        <v>80</v>
      </c>
      <c r="H176" s="43">
        <v>0.3576388888888889</v>
      </c>
      <c r="I176" s="26" t="s">
        <v>31</v>
      </c>
      <c r="J176" s="27">
        <v>77.25</v>
      </c>
      <c r="K176" s="26" t="s">
        <v>42</v>
      </c>
      <c r="L176" s="26" t="s">
        <v>18</v>
      </c>
    </row>
    <row r="177" spans="2:12" x14ac:dyDescent="0.3">
      <c r="B177" s="26">
        <v>170</v>
      </c>
      <c r="C177" s="25">
        <v>44424</v>
      </c>
      <c r="D177" s="26" t="s">
        <v>9</v>
      </c>
      <c r="E177" s="26" t="s">
        <v>450</v>
      </c>
      <c r="F177" s="43" t="s">
        <v>451</v>
      </c>
      <c r="G177" s="43" t="s">
        <v>299</v>
      </c>
      <c r="H177" s="43">
        <v>0.22430555555555559</v>
      </c>
      <c r="I177" s="26" t="s">
        <v>20</v>
      </c>
      <c r="J177" s="27">
        <v>64.600000000000023</v>
      </c>
      <c r="K177" s="26" t="s">
        <v>49</v>
      </c>
      <c r="L177" s="26" t="s">
        <v>18</v>
      </c>
    </row>
    <row r="178" spans="2:12" x14ac:dyDescent="0.3">
      <c r="B178" s="26">
        <v>171</v>
      </c>
      <c r="C178" s="25">
        <v>44420</v>
      </c>
      <c r="D178" s="26" t="s">
        <v>8</v>
      </c>
      <c r="E178" s="26" t="s">
        <v>452</v>
      </c>
      <c r="F178" s="43" t="s">
        <v>295</v>
      </c>
      <c r="G178" s="43" t="s">
        <v>52</v>
      </c>
      <c r="H178" s="43">
        <v>0.32916666666666666</v>
      </c>
      <c r="I178" s="26" t="s">
        <v>31</v>
      </c>
      <c r="J178" s="27">
        <v>118.5</v>
      </c>
      <c r="K178" s="26" t="s">
        <v>57</v>
      </c>
      <c r="L178" s="26" t="s">
        <v>18</v>
      </c>
    </row>
    <row r="179" spans="2:12" x14ac:dyDescent="0.3">
      <c r="B179" s="26">
        <v>172</v>
      </c>
      <c r="C179" s="25">
        <v>44384</v>
      </c>
      <c r="D179" s="26" t="s">
        <v>7</v>
      </c>
      <c r="E179" s="26" t="s">
        <v>453</v>
      </c>
      <c r="F179" s="43" t="s">
        <v>454</v>
      </c>
      <c r="G179" s="43" t="s">
        <v>402</v>
      </c>
      <c r="H179" s="43">
        <v>0.26527777777777778</v>
      </c>
      <c r="I179" s="26" t="s">
        <v>20</v>
      </c>
      <c r="J179" s="27">
        <v>127.33333333333334</v>
      </c>
      <c r="K179" s="26" t="s">
        <v>106</v>
      </c>
      <c r="L179" s="26" t="s">
        <v>18</v>
      </c>
    </row>
    <row r="180" spans="2:12" x14ac:dyDescent="0.3">
      <c r="B180" s="26">
        <v>173</v>
      </c>
      <c r="C180" s="25">
        <v>44418</v>
      </c>
      <c r="D180" s="26" t="s">
        <v>10</v>
      </c>
      <c r="E180" s="26" t="s">
        <v>455</v>
      </c>
      <c r="F180" s="43" t="s">
        <v>456</v>
      </c>
      <c r="G180" s="43" t="s">
        <v>333</v>
      </c>
      <c r="H180" s="43">
        <v>0.19027777777777777</v>
      </c>
      <c r="I180" s="26" t="s">
        <v>31</v>
      </c>
      <c r="J180" s="27">
        <v>41.099999999999994</v>
      </c>
      <c r="K180" s="26" t="s">
        <v>134</v>
      </c>
      <c r="L180" s="26" t="s">
        <v>18</v>
      </c>
    </row>
    <row r="181" spans="2:12" x14ac:dyDescent="0.3">
      <c r="B181" s="26">
        <v>174</v>
      </c>
      <c r="C181" s="25">
        <v>44445</v>
      </c>
      <c r="D181" s="26" t="s">
        <v>10</v>
      </c>
      <c r="E181" s="26" t="s">
        <v>457</v>
      </c>
      <c r="F181" s="43" t="s">
        <v>458</v>
      </c>
      <c r="G181" s="43" t="s">
        <v>459</v>
      </c>
      <c r="H181" s="43">
        <v>0.13749999999999996</v>
      </c>
      <c r="I181" s="26" t="s">
        <v>20</v>
      </c>
      <c r="J181" s="27">
        <v>29.699999999999989</v>
      </c>
      <c r="K181" s="26" t="s">
        <v>53</v>
      </c>
      <c r="L181" s="26" t="s">
        <v>18</v>
      </c>
    </row>
    <row r="182" spans="2:12" x14ac:dyDescent="0.3">
      <c r="B182" s="26">
        <v>175</v>
      </c>
      <c r="C182" s="25">
        <v>44454</v>
      </c>
      <c r="D182" s="26" t="s">
        <v>8</v>
      </c>
      <c r="E182" s="26" t="s">
        <v>460</v>
      </c>
      <c r="F182" s="43" t="s">
        <v>82</v>
      </c>
      <c r="G182" s="43" t="s">
        <v>461</v>
      </c>
      <c r="H182" s="43">
        <v>0.24791666666666667</v>
      </c>
      <c r="I182" s="26" t="s">
        <v>31</v>
      </c>
      <c r="J182" s="27">
        <v>89.25</v>
      </c>
      <c r="K182" s="26" t="s">
        <v>46</v>
      </c>
      <c r="L182" s="26" t="s">
        <v>18</v>
      </c>
    </row>
    <row r="183" spans="2:12" x14ac:dyDescent="0.3">
      <c r="B183" s="26">
        <v>176</v>
      </c>
      <c r="C183" s="25">
        <v>44403</v>
      </c>
      <c r="D183" s="26" t="s">
        <v>8</v>
      </c>
      <c r="E183" s="26" t="s">
        <v>462</v>
      </c>
      <c r="F183" s="43" t="s">
        <v>29</v>
      </c>
      <c r="G183" s="43" t="s">
        <v>463</v>
      </c>
      <c r="H183" s="43">
        <v>8.6111111111111138E-2</v>
      </c>
      <c r="I183" s="26" t="s">
        <v>20</v>
      </c>
      <c r="J183" s="27">
        <v>31.000000000000011</v>
      </c>
      <c r="K183" s="26" t="s">
        <v>57</v>
      </c>
      <c r="L183" s="26" t="s">
        <v>18</v>
      </c>
    </row>
    <row r="184" spans="2:12" x14ac:dyDescent="0.3">
      <c r="B184" s="26">
        <v>177</v>
      </c>
      <c r="C184" s="25">
        <v>44364</v>
      </c>
      <c r="D184" s="26" t="s">
        <v>9</v>
      </c>
      <c r="E184" s="26" t="s">
        <v>464</v>
      </c>
      <c r="F184" s="43" t="s">
        <v>465</v>
      </c>
      <c r="G184" s="43" t="s">
        <v>466</v>
      </c>
      <c r="H184" s="43">
        <v>0.32777777777777778</v>
      </c>
      <c r="I184" s="26" t="s">
        <v>20</v>
      </c>
      <c r="J184" s="27">
        <v>94.4</v>
      </c>
      <c r="K184" s="26" t="s">
        <v>96</v>
      </c>
      <c r="L184" s="26" t="s">
        <v>18</v>
      </c>
    </row>
    <row r="185" spans="2:12" x14ac:dyDescent="0.3">
      <c r="B185" s="26">
        <v>178</v>
      </c>
      <c r="C185" s="25">
        <v>44372</v>
      </c>
      <c r="D185" s="26" t="s">
        <v>9</v>
      </c>
      <c r="E185" s="26" t="s">
        <v>467</v>
      </c>
      <c r="F185" s="43" t="s">
        <v>136</v>
      </c>
      <c r="G185" s="43" t="s">
        <v>279</v>
      </c>
      <c r="H185" s="43">
        <v>5.902777777777779E-2</v>
      </c>
      <c r="I185" s="26" t="s">
        <v>20</v>
      </c>
      <c r="J185" s="27">
        <v>17.000000000000004</v>
      </c>
      <c r="K185" s="26" t="s">
        <v>49</v>
      </c>
      <c r="L185" s="26" t="s">
        <v>18</v>
      </c>
    </row>
    <row r="186" spans="2:12" x14ac:dyDescent="0.3">
      <c r="B186" s="26">
        <v>179</v>
      </c>
      <c r="C186" s="25">
        <v>44454</v>
      </c>
      <c r="D186" s="26" t="s">
        <v>8</v>
      </c>
      <c r="E186" s="26" t="s">
        <v>468</v>
      </c>
      <c r="F186" s="43" t="s">
        <v>29</v>
      </c>
      <c r="G186" s="43" t="s">
        <v>344</v>
      </c>
      <c r="H186" s="43">
        <v>0.10486111111111118</v>
      </c>
      <c r="I186" s="26" t="s">
        <v>31</v>
      </c>
      <c r="J186" s="27">
        <v>37.750000000000028</v>
      </c>
      <c r="K186" s="26" t="s">
        <v>117</v>
      </c>
      <c r="L186" s="26" t="s">
        <v>18</v>
      </c>
    </row>
    <row r="187" spans="2:12" x14ac:dyDescent="0.3">
      <c r="B187" s="26">
        <v>180</v>
      </c>
      <c r="C187" s="25">
        <v>44351</v>
      </c>
      <c r="D187" s="26" t="s">
        <v>10</v>
      </c>
      <c r="E187" s="26" t="s">
        <v>469</v>
      </c>
      <c r="F187" s="43" t="s">
        <v>332</v>
      </c>
      <c r="G187" s="43" t="s">
        <v>470</v>
      </c>
      <c r="H187" s="43">
        <v>0.26250000000000001</v>
      </c>
      <c r="I187" s="26" t="s">
        <v>31</v>
      </c>
      <c r="J187" s="27">
        <v>56.7</v>
      </c>
      <c r="K187" s="26" t="s">
        <v>35</v>
      </c>
      <c r="L187" s="26" t="s">
        <v>18</v>
      </c>
    </row>
    <row r="188" spans="2:12" x14ac:dyDescent="0.3">
      <c r="B188" s="26">
        <v>181</v>
      </c>
      <c r="C188" s="25">
        <v>44430</v>
      </c>
      <c r="D188" s="26" t="s">
        <v>8</v>
      </c>
      <c r="E188" s="26" t="s">
        <v>471</v>
      </c>
      <c r="F188" s="43" t="s">
        <v>342</v>
      </c>
      <c r="G188" s="43" t="s">
        <v>230</v>
      </c>
      <c r="H188" s="43">
        <v>0.28749999999999998</v>
      </c>
      <c r="I188" s="26" t="s">
        <v>20</v>
      </c>
      <c r="J188" s="27">
        <v>103.49999999999999</v>
      </c>
      <c r="K188" s="26" t="s">
        <v>96</v>
      </c>
      <c r="L188" s="26" t="s">
        <v>18</v>
      </c>
    </row>
    <row r="189" spans="2:12" x14ac:dyDescent="0.3">
      <c r="B189" s="26">
        <v>182</v>
      </c>
      <c r="C189" s="25">
        <v>44431</v>
      </c>
      <c r="D189" s="26" t="s">
        <v>7</v>
      </c>
      <c r="E189" s="26" t="s">
        <v>472</v>
      </c>
      <c r="F189" s="43" t="s">
        <v>264</v>
      </c>
      <c r="G189" s="43" t="s">
        <v>473</v>
      </c>
      <c r="H189" s="43">
        <v>0.19236111111111115</v>
      </c>
      <c r="I189" s="26" t="s">
        <v>31</v>
      </c>
      <c r="J189" s="27">
        <v>92.333333333333343</v>
      </c>
      <c r="K189" s="26" t="s">
        <v>35</v>
      </c>
      <c r="L189" s="26" t="s">
        <v>18</v>
      </c>
    </row>
    <row r="190" spans="2:12" x14ac:dyDescent="0.3">
      <c r="B190" s="26">
        <v>183</v>
      </c>
      <c r="C190" s="25">
        <v>44459</v>
      </c>
      <c r="D190" s="26" t="s">
        <v>8</v>
      </c>
      <c r="E190" s="26" t="s">
        <v>474</v>
      </c>
      <c r="F190" s="43" t="s">
        <v>475</v>
      </c>
      <c r="G190" s="43" t="s">
        <v>148</v>
      </c>
      <c r="H190" s="43">
        <v>0.20208333333333334</v>
      </c>
      <c r="I190" s="26" t="s">
        <v>31</v>
      </c>
      <c r="J190" s="27">
        <v>72.75</v>
      </c>
      <c r="K190" s="26" t="s">
        <v>53</v>
      </c>
      <c r="L190" s="26" t="s">
        <v>18</v>
      </c>
    </row>
    <row r="191" spans="2:12" x14ac:dyDescent="0.3">
      <c r="B191" s="26">
        <v>184</v>
      </c>
      <c r="C191" s="25">
        <v>44357</v>
      </c>
      <c r="D191" s="26" t="s">
        <v>8</v>
      </c>
      <c r="E191" s="26" t="s">
        <v>476</v>
      </c>
      <c r="F191" s="43" t="s">
        <v>477</v>
      </c>
      <c r="G191" s="43" t="s">
        <v>478</v>
      </c>
      <c r="H191" s="43">
        <v>0.13819444444444445</v>
      </c>
      <c r="I191" s="26" t="s">
        <v>20</v>
      </c>
      <c r="J191" s="27">
        <v>49.75</v>
      </c>
      <c r="K191" s="26" t="s">
        <v>64</v>
      </c>
      <c r="L191" s="26" t="s">
        <v>18</v>
      </c>
    </row>
    <row r="192" spans="2:12" x14ac:dyDescent="0.3">
      <c r="B192" s="26">
        <v>185</v>
      </c>
      <c r="C192" s="25">
        <v>44371</v>
      </c>
      <c r="D192" s="26" t="s">
        <v>7</v>
      </c>
      <c r="E192" s="26" t="s">
        <v>479</v>
      </c>
      <c r="F192" s="43" t="s">
        <v>342</v>
      </c>
      <c r="G192" s="43" t="s">
        <v>480</v>
      </c>
      <c r="H192" s="43">
        <v>0.20416666666666672</v>
      </c>
      <c r="I192" s="26" t="s">
        <v>31</v>
      </c>
      <c r="J192" s="27">
        <v>98.000000000000028</v>
      </c>
      <c r="K192" s="26" t="s">
        <v>77</v>
      </c>
      <c r="L192" s="26" t="s">
        <v>18</v>
      </c>
    </row>
    <row r="193" spans="2:12" x14ac:dyDescent="0.3">
      <c r="B193" s="26">
        <v>186</v>
      </c>
      <c r="C193" s="25">
        <v>44410</v>
      </c>
      <c r="D193" s="26" t="s">
        <v>7</v>
      </c>
      <c r="E193" s="26" t="s">
        <v>481</v>
      </c>
      <c r="F193" s="43" t="s">
        <v>162</v>
      </c>
      <c r="G193" s="43" t="s">
        <v>285</v>
      </c>
      <c r="H193" s="43">
        <v>0.21597222222222218</v>
      </c>
      <c r="I193" s="26" t="s">
        <v>31</v>
      </c>
      <c r="J193" s="27">
        <v>103.66666666666663</v>
      </c>
      <c r="K193" s="26" t="s">
        <v>17</v>
      </c>
      <c r="L193" s="26" t="s">
        <v>18</v>
      </c>
    </row>
    <row r="194" spans="2:12" x14ac:dyDescent="0.3">
      <c r="B194" s="26">
        <v>187</v>
      </c>
      <c r="C194" s="25">
        <v>44454</v>
      </c>
      <c r="D194" s="26" t="s">
        <v>8</v>
      </c>
      <c r="E194" s="26" t="s">
        <v>482</v>
      </c>
      <c r="F194" s="43" t="s">
        <v>221</v>
      </c>
      <c r="G194" s="43" t="s">
        <v>483</v>
      </c>
      <c r="H194" s="43">
        <v>0.21736111111111112</v>
      </c>
      <c r="I194" s="26" t="s">
        <v>31</v>
      </c>
      <c r="J194" s="27">
        <v>78.25</v>
      </c>
      <c r="K194" s="26" t="s">
        <v>24</v>
      </c>
      <c r="L194" s="26" t="s">
        <v>18</v>
      </c>
    </row>
    <row r="195" spans="2:12" x14ac:dyDescent="0.3">
      <c r="B195" s="26">
        <v>188</v>
      </c>
      <c r="C195" s="25">
        <v>44414</v>
      </c>
      <c r="D195" s="26" t="s">
        <v>8</v>
      </c>
      <c r="E195" s="26" t="s">
        <v>484</v>
      </c>
      <c r="F195" s="43" t="s">
        <v>122</v>
      </c>
      <c r="G195" s="43" t="s">
        <v>485</v>
      </c>
      <c r="H195" s="43">
        <v>5.1388888888888873E-2</v>
      </c>
      <c r="I195" s="26" t="s">
        <v>20</v>
      </c>
      <c r="J195" s="27">
        <v>18.499999999999993</v>
      </c>
      <c r="K195" s="26" t="s">
        <v>117</v>
      </c>
      <c r="L195" s="26" t="s">
        <v>18</v>
      </c>
    </row>
    <row r="196" spans="2:12" x14ac:dyDescent="0.3">
      <c r="B196" s="26">
        <v>189</v>
      </c>
      <c r="C196" s="25">
        <v>44448</v>
      </c>
      <c r="D196" s="26" t="s">
        <v>10</v>
      </c>
      <c r="E196" s="26" t="s">
        <v>486</v>
      </c>
      <c r="F196" s="43" t="s">
        <v>29</v>
      </c>
      <c r="G196" s="43" t="s">
        <v>363</v>
      </c>
      <c r="H196" s="43">
        <v>7.0833333333333415E-2</v>
      </c>
      <c r="I196" s="26" t="s">
        <v>31</v>
      </c>
      <c r="J196" s="27">
        <v>15.300000000000018</v>
      </c>
      <c r="K196" s="26" t="s">
        <v>42</v>
      </c>
      <c r="L196" s="26" t="s">
        <v>18</v>
      </c>
    </row>
    <row r="197" spans="2:12" x14ac:dyDescent="0.3">
      <c r="B197" s="26">
        <v>190</v>
      </c>
      <c r="C197" s="25">
        <v>44426</v>
      </c>
      <c r="D197" s="26" t="s">
        <v>7</v>
      </c>
      <c r="E197" s="26" t="s">
        <v>487</v>
      </c>
      <c r="F197" s="43" t="s">
        <v>488</v>
      </c>
      <c r="G197" s="43" t="s">
        <v>489</v>
      </c>
      <c r="H197" s="43">
        <v>0.12222222222222218</v>
      </c>
      <c r="I197" s="26" t="s">
        <v>31</v>
      </c>
      <c r="J197" s="27">
        <v>58.666666666666643</v>
      </c>
      <c r="K197" s="26" t="s">
        <v>96</v>
      </c>
      <c r="L197" s="26" t="s">
        <v>18</v>
      </c>
    </row>
    <row r="198" spans="2:12" x14ac:dyDescent="0.3">
      <c r="B198" s="26">
        <v>191</v>
      </c>
      <c r="C198" s="25">
        <v>44420</v>
      </c>
      <c r="D198" s="26" t="s">
        <v>10</v>
      </c>
      <c r="E198" s="26" t="s">
        <v>490</v>
      </c>
      <c r="F198" s="43" t="s">
        <v>491</v>
      </c>
      <c r="G198" s="43" t="s">
        <v>215</v>
      </c>
      <c r="H198" s="43">
        <v>0.18333333333333329</v>
      </c>
      <c r="I198" s="26" t="s">
        <v>31</v>
      </c>
      <c r="J198" s="27">
        <v>39.599999999999987</v>
      </c>
      <c r="K198" s="26" t="s">
        <v>35</v>
      </c>
      <c r="L198" s="26" t="s">
        <v>18</v>
      </c>
    </row>
    <row r="199" spans="2:12" x14ac:dyDescent="0.3">
      <c r="B199" s="26">
        <v>192</v>
      </c>
      <c r="C199" s="25">
        <v>44442</v>
      </c>
      <c r="D199" s="26" t="s">
        <v>8</v>
      </c>
      <c r="E199" s="26" t="s">
        <v>492</v>
      </c>
      <c r="F199" s="43" t="s">
        <v>318</v>
      </c>
      <c r="G199" s="43" t="s">
        <v>257</v>
      </c>
      <c r="H199" s="43">
        <v>0.1868055555555555</v>
      </c>
      <c r="I199" s="26" t="s">
        <v>20</v>
      </c>
      <c r="J199" s="27">
        <v>67.249999999999986</v>
      </c>
      <c r="K199" s="26" t="s">
        <v>64</v>
      </c>
      <c r="L199" s="26" t="s">
        <v>18</v>
      </c>
    </row>
    <row r="200" spans="2:12" x14ac:dyDescent="0.3">
      <c r="B200" s="26">
        <v>193</v>
      </c>
      <c r="C200" s="25">
        <v>44433</v>
      </c>
      <c r="D200" s="26" t="s">
        <v>8</v>
      </c>
      <c r="E200" s="26" t="s">
        <v>493</v>
      </c>
      <c r="F200" s="43" t="s">
        <v>226</v>
      </c>
      <c r="G200" s="43" t="s">
        <v>494</v>
      </c>
      <c r="H200" s="43">
        <v>0.29791666666666672</v>
      </c>
      <c r="I200" s="26" t="s">
        <v>31</v>
      </c>
      <c r="J200" s="27">
        <v>107.25000000000001</v>
      </c>
      <c r="K200" s="26" t="s">
        <v>64</v>
      </c>
      <c r="L200" s="26" t="s">
        <v>18</v>
      </c>
    </row>
    <row r="201" spans="2:12" x14ac:dyDescent="0.3">
      <c r="B201" s="26">
        <v>194</v>
      </c>
      <c r="C201" s="25">
        <v>44382</v>
      </c>
      <c r="D201" s="26" t="s">
        <v>9</v>
      </c>
      <c r="E201" s="26" t="s">
        <v>495</v>
      </c>
      <c r="F201" s="43" t="s">
        <v>496</v>
      </c>
      <c r="G201" s="43" t="s">
        <v>497</v>
      </c>
      <c r="H201" s="43">
        <v>0.21250000000000002</v>
      </c>
      <c r="I201" s="26" t="s">
        <v>20</v>
      </c>
      <c r="J201" s="27">
        <v>61.2</v>
      </c>
      <c r="K201" s="26" t="s">
        <v>17</v>
      </c>
      <c r="L201" s="26" t="s">
        <v>18</v>
      </c>
    </row>
    <row r="202" spans="2:12" x14ac:dyDescent="0.3">
      <c r="B202" s="26">
        <v>195</v>
      </c>
      <c r="C202" s="25">
        <v>44423</v>
      </c>
      <c r="D202" s="26" t="s">
        <v>10</v>
      </c>
      <c r="E202" s="26" t="s">
        <v>498</v>
      </c>
      <c r="F202" s="43" t="s">
        <v>499</v>
      </c>
      <c r="G202" s="43" t="s">
        <v>500</v>
      </c>
      <c r="H202" s="43">
        <v>0.13472222222222224</v>
      </c>
      <c r="I202" s="26" t="s">
        <v>31</v>
      </c>
      <c r="J202" s="27">
        <v>29.100000000000005</v>
      </c>
      <c r="K202" s="26" t="s">
        <v>117</v>
      </c>
      <c r="L202" s="26" t="s">
        <v>18</v>
      </c>
    </row>
    <row r="203" spans="2:12" x14ac:dyDescent="0.3">
      <c r="B203" s="26">
        <v>196</v>
      </c>
      <c r="C203" s="25">
        <v>44411</v>
      </c>
      <c r="D203" s="26" t="s">
        <v>7</v>
      </c>
      <c r="E203" s="26" t="s">
        <v>501</v>
      </c>
      <c r="F203" s="43" t="s">
        <v>437</v>
      </c>
      <c r="G203" s="43" t="s">
        <v>310</v>
      </c>
      <c r="H203" s="43">
        <v>0.28749999999999998</v>
      </c>
      <c r="I203" s="26" t="s">
        <v>31</v>
      </c>
      <c r="J203" s="27">
        <v>138</v>
      </c>
      <c r="K203" s="26" t="s">
        <v>35</v>
      </c>
      <c r="L203" s="26" t="s">
        <v>18</v>
      </c>
    </row>
    <row r="204" spans="2:12" x14ac:dyDescent="0.3">
      <c r="B204" s="26">
        <v>197</v>
      </c>
      <c r="C204" s="25">
        <v>44470</v>
      </c>
      <c r="D204" s="26" t="s">
        <v>10</v>
      </c>
      <c r="E204" s="26" t="s">
        <v>502</v>
      </c>
      <c r="F204" s="43" t="s">
        <v>503</v>
      </c>
      <c r="G204" s="43" t="s">
        <v>257</v>
      </c>
      <c r="H204" s="43">
        <v>0.18472222222222218</v>
      </c>
      <c r="I204" s="26" t="s">
        <v>31</v>
      </c>
      <c r="J204" s="27">
        <v>39.899999999999984</v>
      </c>
      <c r="K204" s="26" t="s">
        <v>96</v>
      </c>
      <c r="L204" s="26" t="s">
        <v>18</v>
      </c>
    </row>
    <row r="205" spans="2:12" x14ac:dyDescent="0.3">
      <c r="B205" s="26">
        <v>198</v>
      </c>
      <c r="C205" s="25">
        <v>44352</v>
      </c>
      <c r="D205" s="26" t="s">
        <v>8</v>
      </c>
      <c r="E205" s="26" t="s">
        <v>504</v>
      </c>
      <c r="F205" s="43" t="s">
        <v>326</v>
      </c>
      <c r="G205" s="43" t="s">
        <v>265</v>
      </c>
      <c r="H205" s="43">
        <v>0.14166666666666655</v>
      </c>
      <c r="I205" s="26" t="s">
        <v>20</v>
      </c>
      <c r="J205" s="27">
        <v>50.999999999999957</v>
      </c>
      <c r="K205" s="26" t="s">
        <v>90</v>
      </c>
      <c r="L205" s="26" t="s">
        <v>18</v>
      </c>
    </row>
    <row r="206" spans="2:12" x14ac:dyDescent="0.3">
      <c r="B206" s="26">
        <v>199</v>
      </c>
      <c r="C206" s="25">
        <v>44427</v>
      </c>
      <c r="D206" s="26" t="s">
        <v>7</v>
      </c>
      <c r="E206" s="26" t="s">
        <v>505</v>
      </c>
      <c r="F206" s="43" t="s">
        <v>88</v>
      </c>
      <c r="G206" s="43" t="s">
        <v>506</v>
      </c>
      <c r="H206" s="43">
        <v>0.2326388888888889</v>
      </c>
      <c r="I206" s="26" t="s">
        <v>20</v>
      </c>
      <c r="J206" s="27">
        <v>111.66666666666669</v>
      </c>
      <c r="K206" s="26" t="s">
        <v>90</v>
      </c>
      <c r="L206" s="26" t="s">
        <v>18</v>
      </c>
    </row>
    <row r="207" spans="2:12" x14ac:dyDescent="0.3">
      <c r="B207" s="26">
        <v>200</v>
      </c>
      <c r="C207" s="25">
        <v>44438</v>
      </c>
      <c r="D207" s="26" t="s">
        <v>7</v>
      </c>
      <c r="E207" s="26" t="s">
        <v>507</v>
      </c>
      <c r="F207" s="43" t="s">
        <v>508</v>
      </c>
      <c r="G207" s="43" t="s">
        <v>509</v>
      </c>
      <c r="H207" s="43">
        <v>0.35694444444444445</v>
      </c>
      <c r="I207" s="26" t="s">
        <v>20</v>
      </c>
      <c r="J207" s="27">
        <v>171.33333333333331</v>
      </c>
      <c r="K207" s="26" t="s">
        <v>35</v>
      </c>
      <c r="L207" s="26" t="s">
        <v>18</v>
      </c>
    </row>
    <row r="208" spans="2:12" x14ac:dyDescent="0.3">
      <c r="B208" s="26">
        <v>201</v>
      </c>
      <c r="C208" s="25">
        <v>44354</v>
      </c>
      <c r="D208" s="26" t="s">
        <v>10</v>
      </c>
      <c r="E208" s="26" t="s">
        <v>510</v>
      </c>
      <c r="F208" s="43" t="s">
        <v>511</v>
      </c>
      <c r="G208" s="43" t="s">
        <v>260</v>
      </c>
      <c r="H208" s="43">
        <v>0.28819444444444436</v>
      </c>
      <c r="I208" s="26" t="s">
        <v>20</v>
      </c>
      <c r="J208" s="27">
        <v>62.249999999999979</v>
      </c>
      <c r="K208" s="26" t="s">
        <v>57</v>
      </c>
      <c r="L208" s="26" t="s">
        <v>18</v>
      </c>
    </row>
    <row r="209" spans="2:12" x14ac:dyDescent="0.3">
      <c r="B209" s="26">
        <v>202</v>
      </c>
      <c r="C209" s="25">
        <v>44424</v>
      </c>
      <c r="D209" s="26" t="s">
        <v>10</v>
      </c>
      <c r="E209" s="26" t="s">
        <v>512</v>
      </c>
      <c r="F209" s="43" t="s">
        <v>342</v>
      </c>
      <c r="G209" s="43" t="s">
        <v>86</v>
      </c>
      <c r="H209" s="43">
        <v>0.27847222222222223</v>
      </c>
      <c r="I209" s="26" t="s">
        <v>31</v>
      </c>
      <c r="J209" s="27">
        <v>60.150000000000006</v>
      </c>
      <c r="K209" s="26" t="s">
        <v>64</v>
      </c>
      <c r="L209" s="26" t="s">
        <v>18</v>
      </c>
    </row>
    <row r="210" spans="2:12" x14ac:dyDescent="0.3">
      <c r="B210" s="26">
        <v>203</v>
      </c>
      <c r="C210" s="25">
        <v>44421</v>
      </c>
      <c r="D210" s="26" t="s">
        <v>10</v>
      </c>
      <c r="E210" s="26" t="s">
        <v>513</v>
      </c>
      <c r="F210" s="43" t="s">
        <v>442</v>
      </c>
      <c r="G210" s="43" t="s">
        <v>514</v>
      </c>
      <c r="H210" s="43">
        <v>0.2409722222222222</v>
      </c>
      <c r="I210" s="26" t="s">
        <v>31</v>
      </c>
      <c r="J210" s="27">
        <v>52.05</v>
      </c>
      <c r="K210" s="26" t="s">
        <v>96</v>
      </c>
      <c r="L210" s="26" t="s">
        <v>18</v>
      </c>
    </row>
    <row r="211" spans="2:12" x14ac:dyDescent="0.3">
      <c r="B211" s="26">
        <v>204</v>
      </c>
      <c r="C211" s="25">
        <v>44430</v>
      </c>
      <c r="D211" s="26" t="s">
        <v>7</v>
      </c>
      <c r="E211" s="26" t="s">
        <v>515</v>
      </c>
      <c r="F211" s="43" t="s">
        <v>516</v>
      </c>
      <c r="G211" s="43" t="s">
        <v>517</v>
      </c>
      <c r="H211" s="43">
        <v>0.15277777777777773</v>
      </c>
      <c r="I211" s="26" t="s">
        <v>31</v>
      </c>
      <c r="J211" s="27">
        <v>73.333333333333314</v>
      </c>
      <c r="K211" s="26" t="s">
        <v>35</v>
      </c>
      <c r="L211" s="26" t="s">
        <v>18</v>
      </c>
    </row>
    <row r="212" spans="2:12" x14ac:dyDescent="0.3">
      <c r="B212" s="26">
        <v>205</v>
      </c>
      <c r="C212" s="25">
        <v>44446</v>
      </c>
      <c r="D212" s="26" t="s">
        <v>9</v>
      </c>
      <c r="E212" s="26" t="s">
        <v>518</v>
      </c>
      <c r="F212" s="43" t="s">
        <v>85</v>
      </c>
      <c r="G212" s="43" t="s">
        <v>519</v>
      </c>
      <c r="H212" s="43">
        <v>0.11388888888888893</v>
      </c>
      <c r="I212" s="26" t="s">
        <v>20</v>
      </c>
      <c r="J212" s="27">
        <v>32.800000000000011</v>
      </c>
      <c r="K212" s="26" t="s">
        <v>53</v>
      </c>
      <c r="L212" s="26" t="s">
        <v>18</v>
      </c>
    </row>
    <row r="213" spans="2:12" x14ac:dyDescent="0.3">
      <c r="B213" s="26">
        <v>206</v>
      </c>
      <c r="C213" s="25">
        <v>44446</v>
      </c>
      <c r="D213" s="26" t="s">
        <v>9</v>
      </c>
      <c r="E213" s="26" t="s">
        <v>520</v>
      </c>
      <c r="F213" s="43" t="s">
        <v>72</v>
      </c>
      <c r="G213" s="43" t="s">
        <v>402</v>
      </c>
      <c r="H213" s="43">
        <v>0.23611111111111105</v>
      </c>
      <c r="I213" s="26" t="s">
        <v>31</v>
      </c>
      <c r="J213" s="27">
        <v>67.999999999999986</v>
      </c>
      <c r="K213" s="26" t="s">
        <v>57</v>
      </c>
      <c r="L213" s="26" t="s">
        <v>18</v>
      </c>
    </row>
    <row r="214" spans="2:12" x14ac:dyDescent="0.3">
      <c r="B214" s="26">
        <v>207</v>
      </c>
      <c r="C214" s="25">
        <v>44404</v>
      </c>
      <c r="D214" s="26" t="s">
        <v>10</v>
      </c>
      <c r="E214" s="26" t="s">
        <v>521</v>
      </c>
      <c r="F214" s="43" t="s">
        <v>522</v>
      </c>
      <c r="G214" s="43" t="s">
        <v>494</v>
      </c>
      <c r="H214" s="43">
        <v>0.31527777777777782</v>
      </c>
      <c r="I214" s="26" t="s">
        <v>31</v>
      </c>
      <c r="J214" s="27">
        <v>68.100000000000009</v>
      </c>
      <c r="K214" s="26" t="s">
        <v>134</v>
      </c>
      <c r="L214" s="26" t="s">
        <v>18</v>
      </c>
    </row>
    <row r="215" spans="2:12" x14ac:dyDescent="0.3">
      <c r="B215" s="26">
        <v>208</v>
      </c>
      <c r="C215" s="25">
        <v>44409</v>
      </c>
      <c r="D215" s="26" t="s">
        <v>9</v>
      </c>
      <c r="E215" s="26" t="s">
        <v>523</v>
      </c>
      <c r="F215" s="43" t="s">
        <v>524</v>
      </c>
      <c r="G215" s="43" t="s">
        <v>230</v>
      </c>
      <c r="H215" s="43">
        <v>0.29722222222222217</v>
      </c>
      <c r="I215" s="26" t="s">
        <v>20</v>
      </c>
      <c r="J215" s="27">
        <v>85.59999999999998</v>
      </c>
      <c r="K215" s="26" t="s">
        <v>17</v>
      </c>
      <c r="L215" s="26" t="s">
        <v>18</v>
      </c>
    </row>
    <row r="216" spans="2:12" x14ac:dyDescent="0.3">
      <c r="B216" s="26">
        <v>209</v>
      </c>
      <c r="C216" s="25">
        <v>44423</v>
      </c>
      <c r="D216" s="26" t="s">
        <v>10</v>
      </c>
      <c r="E216" s="26" t="s">
        <v>525</v>
      </c>
      <c r="F216" s="43" t="s">
        <v>526</v>
      </c>
      <c r="G216" s="43" t="s">
        <v>478</v>
      </c>
      <c r="H216" s="43">
        <v>0.23333333333333339</v>
      </c>
      <c r="I216" s="26" t="s">
        <v>20</v>
      </c>
      <c r="J216" s="27">
        <v>50.400000000000013</v>
      </c>
      <c r="K216" s="26" t="s">
        <v>134</v>
      </c>
      <c r="L216" s="26" t="s">
        <v>18</v>
      </c>
    </row>
    <row r="217" spans="2:12" x14ac:dyDescent="0.3">
      <c r="B217" s="26">
        <v>210</v>
      </c>
      <c r="C217" s="25">
        <v>44383</v>
      </c>
      <c r="D217" s="26" t="s">
        <v>7</v>
      </c>
      <c r="E217" s="26" t="s">
        <v>527</v>
      </c>
      <c r="F217" s="43" t="s">
        <v>324</v>
      </c>
      <c r="G217" s="43" t="s">
        <v>299</v>
      </c>
      <c r="H217" s="43">
        <v>0.18958333333333338</v>
      </c>
      <c r="I217" s="26" t="s">
        <v>20</v>
      </c>
      <c r="J217" s="27">
        <v>91.000000000000014</v>
      </c>
      <c r="K217" s="26" t="s">
        <v>35</v>
      </c>
      <c r="L217" s="26" t="s">
        <v>18</v>
      </c>
    </row>
    <row r="218" spans="2:12" x14ac:dyDescent="0.3">
      <c r="B218" s="26">
        <v>211</v>
      </c>
      <c r="C218" s="25">
        <v>44459</v>
      </c>
      <c r="D218" s="26" t="s">
        <v>7</v>
      </c>
      <c r="E218" s="26" t="s">
        <v>528</v>
      </c>
      <c r="F218" s="43" t="s">
        <v>277</v>
      </c>
      <c r="G218" s="43" t="s">
        <v>38</v>
      </c>
      <c r="H218" s="43">
        <v>0.10416666666666669</v>
      </c>
      <c r="I218" s="26" t="s">
        <v>20</v>
      </c>
      <c r="J218" s="27">
        <v>50.000000000000007</v>
      </c>
      <c r="K218" s="26" t="s">
        <v>35</v>
      </c>
      <c r="L218" s="26" t="s">
        <v>18</v>
      </c>
    </row>
    <row r="219" spans="2:12" x14ac:dyDescent="0.3">
      <c r="B219" s="26">
        <v>212</v>
      </c>
      <c r="C219" s="25">
        <v>44448</v>
      </c>
      <c r="D219" s="26" t="s">
        <v>10</v>
      </c>
      <c r="E219" s="26" t="s">
        <v>529</v>
      </c>
      <c r="F219" s="43" t="s">
        <v>530</v>
      </c>
      <c r="G219" s="43" t="s">
        <v>531</v>
      </c>
      <c r="H219" s="43">
        <v>0.22569444444444453</v>
      </c>
      <c r="I219" s="26" t="s">
        <v>20</v>
      </c>
      <c r="J219" s="27">
        <v>48.750000000000021</v>
      </c>
      <c r="K219" s="26" t="s">
        <v>24</v>
      </c>
      <c r="L219" s="26" t="s">
        <v>18</v>
      </c>
    </row>
    <row r="220" spans="2:12" x14ac:dyDescent="0.3">
      <c r="B220" s="26">
        <v>213</v>
      </c>
      <c r="C220" s="25">
        <v>44411</v>
      </c>
      <c r="D220" s="26" t="s">
        <v>9</v>
      </c>
      <c r="E220" s="26" t="s">
        <v>532</v>
      </c>
      <c r="F220" s="43" t="s">
        <v>533</v>
      </c>
      <c r="G220" s="43" t="s">
        <v>432</v>
      </c>
      <c r="H220" s="43">
        <v>0.22430555555555559</v>
      </c>
      <c r="I220" s="26" t="s">
        <v>20</v>
      </c>
      <c r="J220" s="27">
        <v>64.600000000000023</v>
      </c>
      <c r="K220" s="26" t="s">
        <v>57</v>
      </c>
      <c r="L220" s="26" t="s">
        <v>18</v>
      </c>
    </row>
    <row r="221" spans="2:12" x14ac:dyDescent="0.3">
      <c r="B221" s="26">
        <v>214</v>
      </c>
      <c r="C221" s="25">
        <v>44384</v>
      </c>
      <c r="D221" s="26" t="s">
        <v>7</v>
      </c>
      <c r="E221" s="26" t="s">
        <v>534</v>
      </c>
      <c r="F221" s="43" t="s">
        <v>324</v>
      </c>
      <c r="G221" s="43" t="s">
        <v>52</v>
      </c>
      <c r="H221" s="43">
        <v>0.25277777777777782</v>
      </c>
      <c r="I221" s="26" t="s">
        <v>20</v>
      </c>
      <c r="J221" s="27">
        <v>121.33333333333337</v>
      </c>
      <c r="K221" s="26" t="s">
        <v>35</v>
      </c>
      <c r="L221" s="26" t="s">
        <v>18</v>
      </c>
    </row>
    <row r="222" spans="2:12" x14ac:dyDescent="0.3">
      <c r="B222" s="26">
        <v>215</v>
      </c>
      <c r="C222" s="25">
        <v>44424</v>
      </c>
      <c r="D222" s="26" t="s">
        <v>7</v>
      </c>
      <c r="E222" s="26" t="s">
        <v>535</v>
      </c>
      <c r="F222" s="43" t="s">
        <v>69</v>
      </c>
      <c r="G222" s="43" t="s">
        <v>206</v>
      </c>
      <c r="H222" s="43">
        <v>0.22916666666666663</v>
      </c>
      <c r="I222" s="26" t="s">
        <v>31</v>
      </c>
      <c r="J222" s="27">
        <v>109.99999999999999</v>
      </c>
      <c r="K222" s="26" t="s">
        <v>53</v>
      </c>
      <c r="L222" s="26" t="s">
        <v>18</v>
      </c>
    </row>
    <row r="223" spans="2:12" x14ac:dyDescent="0.3">
      <c r="B223" s="26">
        <v>216</v>
      </c>
      <c r="C223" s="25">
        <v>44430</v>
      </c>
      <c r="D223" s="26" t="s">
        <v>7</v>
      </c>
      <c r="E223" s="26" t="s">
        <v>536</v>
      </c>
      <c r="F223" s="43" t="s">
        <v>537</v>
      </c>
      <c r="G223" s="43" t="s">
        <v>363</v>
      </c>
      <c r="H223" s="43">
        <v>5.5555555555555636E-2</v>
      </c>
      <c r="I223" s="26" t="s">
        <v>20</v>
      </c>
      <c r="J223" s="27">
        <v>26.666666666666707</v>
      </c>
      <c r="K223" s="26" t="s">
        <v>117</v>
      </c>
      <c r="L223" s="26" t="s">
        <v>18</v>
      </c>
    </row>
    <row r="224" spans="2:12" x14ac:dyDescent="0.3">
      <c r="B224" s="26">
        <v>217</v>
      </c>
      <c r="C224" s="25">
        <v>44381</v>
      </c>
      <c r="D224" s="26" t="s">
        <v>9</v>
      </c>
      <c r="E224" s="26" t="s">
        <v>538</v>
      </c>
      <c r="F224" s="43" t="s">
        <v>539</v>
      </c>
      <c r="G224" s="43" t="s">
        <v>519</v>
      </c>
      <c r="H224" s="43">
        <v>0.2277777777777778</v>
      </c>
      <c r="I224" s="26" t="s">
        <v>31</v>
      </c>
      <c r="J224" s="27">
        <v>65.599999999999994</v>
      </c>
      <c r="K224" s="26" t="s">
        <v>53</v>
      </c>
      <c r="L224" s="26" t="s">
        <v>18</v>
      </c>
    </row>
    <row r="225" spans="2:12" x14ac:dyDescent="0.3">
      <c r="B225" s="26">
        <v>218</v>
      </c>
      <c r="C225" s="25">
        <v>44378</v>
      </c>
      <c r="D225" s="26" t="s">
        <v>8</v>
      </c>
      <c r="E225" s="26" t="s">
        <v>540</v>
      </c>
      <c r="F225" s="43" t="s">
        <v>29</v>
      </c>
      <c r="G225" s="43" t="s">
        <v>412</v>
      </c>
      <c r="H225" s="43">
        <v>0.17638888888888893</v>
      </c>
      <c r="I225" s="26" t="s">
        <v>31</v>
      </c>
      <c r="J225" s="27">
        <v>63.500000000000014</v>
      </c>
      <c r="K225" s="26" t="s">
        <v>17</v>
      </c>
      <c r="L225" s="26" t="s">
        <v>18</v>
      </c>
    </row>
    <row r="226" spans="2:12" x14ac:dyDescent="0.3">
      <c r="B226" s="26">
        <v>219</v>
      </c>
      <c r="C226" s="25">
        <v>44390</v>
      </c>
      <c r="D226" s="26" t="s">
        <v>10</v>
      </c>
      <c r="E226" s="26" t="s">
        <v>541</v>
      </c>
      <c r="F226" s="43" t="s">
        <v>404</v>
      </c>
      <c r="G226" s="43" t="s">
        <v>102</v>
      </c>
      <c r="H226" s="43">
        <v>0.14236111111111105</v>
      </c>
      <c r="I226" s="26" t="s">
        <v>20</v>
      </c>
      <c r="J226" s="27">
        <v>30.749999999999986</v>
      </c>
      <c r="K226" s="26" t="s">
        <v>35</v>
      </c>
      <c r="L226" s="26" t="s">
        <v>18</v>
      </c>
    </row>
    <row r="227" spans="2:12" x14ac:dyDescent="0.3">
      <c r="B227" s="26">
        <v>220</v>
      </c>
      <c r="C227" s="25">
        <v>44363</v>
      </c>
      <c r="D227" s="26" t="s">
        <v>9</v>
      </c>
      <c r="E227" s="26" t="s">
        <v>542</v>
      </c>
      <c r="F227" s="43" t="s">
        <v>203</v>
      </c>
      <c r="G227" s="43" t="s">
        <v>148</v>
      </c>
      <c r="H227" s="43">
        <v>0.23749999999999999</v>
      </c>
      <c r="I227" s="26" t="s">
        <v>31</v>
      </c>
      <c r="J227" s="27">
        <v>68.399999999999991</v>
      </c>
      <c r="K227" s="26" t="s">
        <v>49</v>
      </c>
      <c r="L227" s="26" t="s">
        <v>18</v>
      </c>
    </row>
    <row r="228" spans="2:12" x14ac:dyDescent="0.3">
      <c r="B228" s="26">
        <v>221</v>
      </c>
      <c r="C228" s="25">
        <v>44419</v>
      </c>
      <c r="D228" s="26" t="s">
        <v>7</v>
      </c>
      <c r="E228" s="26" t="s">
        <v>543</v>
      </c>
      <c r="F228" s="43" t="s">
        <v>365</v>
      </c>
      <c r="G228" s="43" t="s">
        <v>544</v>
      </c>
      <c r="H228" s="43">
        <v>0.18124999999999997</v>
      </c>
      <c r="I228" s="26" t="s">
        <v>31</v>
      </c>
      <c r="J228" s="27">
        <v>87</v>
      </c>
      <c r="K228" s="26" t="s">
        <v>53</v>
      </c>
      <c r="L228" s="26" t="s">
        <v>18</v>
      </c>
    </row>
    <row r="229" spans="2:12" x14ac:dyDescent="0.3">
      <c r="B229" s="26">
        <v>222</v>
      </c>
      <c r="C229" s="25">
        <v>44370</v>
      </c>
      <c r="D229" s="26" t="s">
        <v>8</v>
      </c>
      <c r="E229" s="26" t="s">
        <v>545</v>
      </c>
      <c r="F229" s="43" t="s">
        <v>546</v>
      </c>
      <c r="G229" s="43" t="s">
        <v>126</v>
      </c>
      <c r="H229" s="43">
        <v>6.3194444444444497E-2</v>
      </c>
      <c r="I229" s="26" t="s">
        <v>20</v>
      </c>
      <c r="J229" s="27">
        <v>22.750000000000018</v>
      </c>
      <c r="K229" s="26" t="s">
        <v>49</v>
      </c>
      <c r="L229" s="26" t="s">
        <v>18</v>
      </c>
    </row>
    <row r="230" spans="2:12" x14ac:dyDescent="0.3">
      <c r="B230" s="26">
        <v>223</v>
      </c>
      <c r="C230" s="25">
        <v>44362</v>
      </c>
      <c r="D230" s="26" t="s">
        <v>9</v>
      </c>
      <c r="E230" s="26" t="s">
        <v>547</v>
      </c>
      <c r="F230" s="43" t="s">
        <v>548</v>
      </c>
      <c r="G230" s="43" t="s">
        <v>83</v>
      </c>
      <c r="H230" s="43">
        <v>0.27708333333333329</v>
      </c>
      <c r="I230" s="26" t="s">
        <v>31</v>
      </c>
      <c r="J230" s="27">
        <v>79.799999999999983</v>
      </c>
      <c r="K230" s="26" t="s">
        <v>42</v>
      </c>
      <c r="L230" s="26" t="s">
        <v>18</v>
      </c>
    </row>
    <row r="231" spans="2:12" x14ac:dyDescent="0.3">
      <c r="B231" s="26">
        <v>224</v>
      </c>
      <c r="C231" s="25">
        <v>44418</v>
      </c>
      <c r="D231" s="26" t="s">
        <v>8</v>
      </c>
      <c r="E231" s="26" t="s">
        <v>549</v>
      </c>
      <c r="F231" s="43" t="s">
        <v>356</v>
      </c>
      <c r="G231" s="43" t="s">
        <v>550</v>
      </c>
      <c r="H231" s="43">
        <v>0.2909722222222223</v>
      </c>
      <c r="I231" s="26" t="s">
        <v>31</v>
      </c>
      <c r="J231" s="27">
        <v>104.75000000000003</v>
      </c>
      <c r="K231" s="26" t="s">
        <v>64</v>
      </c>
      <c r="L231" s="26" t="s">
        <v>18</v>
      </c>
    </row>
    <row r="232" spans="2:12" x14ac:dyDescent="0.3">
      <c r="B232" s="26">
        <v>225</v>
      </c>
      <c r="C232" s="25">
        <v>44348</v>
      </c>
      <c r="D232" s="26" t="s">
        <v>7</v>
      </c>
      <c r="E232" s="26" t="s">
        <v>551</v>
      </c>
      <c r="F232" s="43" t="s">
        <v>305</v>
      </c>
      <c r="G232" s="43" t="s">
        <v>552</v>
      </c>
      <c r="H232" s="43">
        <v>0.2013888888888889</v>
      </c>
      <c r="I232" s="26" t="s">
        <v>31</v>
      </c>
      <c r="J232" s="27">
        <v>96.666666666666686</v>
      </c>
      <c r="K232" s="26" t="s">
        <v>77</v>
      </c>
      <c r="L232" s="26" t="s">
        <v>18</v>
      </c>
    </row>
    <row r="233" spans="2:12" x14ac:dyDescent="0.3">
      <c r="B233" s="26">
        <v>226</v>
      </c>
      <c r="C233" s="25">
        <v>44465</v>
      </c>
      <c r="D233" s="26" t="s">
        <v>7</v>
      </c>
      <c r="E233" s="26" t="s">
        <v>553</v>
      </c>
      <c r="F233" s="43" t="s">
        <v>554</v>
      </c>
      <c r="G233" s="43" t="s">
        <v>333</v>
      </c>
      <c r="H233" s="43">
        <v>0.21111111111111108</v>
      </c>
      <c r="I233" s="26" t="s">
        <v>31</v>
      </c>
      <c r="J233" s="27">
        <v>101.33333333333333</v>
      </c>
      <c r="K233" s="26" t="s">
        <v>77</v>
      </c>
      <c r="L233" s="26" t="s">
        <v>18</v>
      </c>
    </row>
    <row r="234" spans="2:12" x14ac:dyDescent="0.3">
      <c r="B234" s="26">
        <v>227</v>
      </c>
      <c r="C234" s="25">
        <v>44419</v>
      </c>
      <c r="D234" s="26" t="s">
        <v>7</v>
      </c>
      <c r="E234" s="26" t="s">
        <v>555</v>
      </c>
      <c r="F234" s="43" t="s">
        <v>556</v>
      </c>
      <c r="G234" s="43" t="s">
        <v>557</v>
      </c>
      <c r="H234" s="43">
        <v>8.7499999999999967E-2</v>
      </c>
      <c r="I234" s="26" t="s">
        <v>31</v>
      </c>
      <c r="J234" s="27">
        <v>41.999999999999986</v>
      </c>
      <c r="K234" s="26" t="s">
        <v>24</v>
      </c>
      <c r="L234" s="26" t="s">
        <v>18</v>
      </c>
    </row>
    <row r="235" spans="2:12" x14ac:dyDescent="0.3">
      <c r="B235" s="26">
        <v>228</v>
      </c>
      <c r="C235" s="25">
        <v>44361</v>
      </c>
      <c r="D235" s="26" t="s">
        <v>7</v>
      </c>
      <c r="E235" s="26" t="s">
        <v>558</v>
      </c>
      <c r="F235" s="43" t="s">
        <v>236</v>
      </c>
      <c r="G235" s="43" t="s">
        <v>559</v>
      </c>
      <c r="H235" s="43">
        <v>0.10486111111111102</v>
      </c>
      <c r="I235" s="26" t="s">
        <v>20</v>
      </c>
      <c r="J235" s="27">
        <v>50.333333333333286</v>
      </c>
      <c r="K235" s="26" t="s">
        <v>35</v>
      </c>
      <c r="L235" s="26" t="s">
        <v>18</v>
      </c>
    </row>
    <row r="236" spans="2:12" x14ac:dyDescent="0.3">
      <c r="B236" s="26">
        <v>229</v>
      </c>
      <c r="C236" s="25">
        <v>44361</v>
      </c>
      <c r="D236" s="26" t="s">
        <v>7</v>
      </c>
      <c r="E236" s="26" t="s">
        <v>560</v>
      </c>
      <c r="F236" s="43" t="s">
        <v>561</v>
      </c>
      <c r="G236" s="43" t="s">
        <v>154</v>
      </c>
      <c r="H236" s="43">
        <v>0.19305555555555559</v>
      </c>
      <c r="I236" s="26" t="s">
        <v>20</v>
      </c>
      <c r="J236" s="27">
        <v>92.666666666666686</v>
      </c>
      <c r="K236" s="26" t="s">
        <v>106</v>
      </c>
      <c r="L236" s="26" t="s">
        <v>18</v>
      </c>
    </row>
    <row r="237" spans="2:12" x14ac:dyDescent="0.3">
      <c r="B237" s="26">
        <v>230</v>
      </c>
      <c r="C237" s="25">
        <v>44378</v>
      </c>
      <c r="D237" s="26" t="s">
        <v>10</v>
      </c>
      <c r="E237" s="26" t="s">
        <v>562</v>
      </c>
      <c r="F237" s="43" t="s">
        <v>252</v>
      </c>
      <c r="G237" s="43" t="s">
        <v>105</v>
      </c>
      <c r="H237" s="43">
        <v>0.24999999999999994</v>
      </c>
      <c r="I237" s="26" t="s">
        <v>31</v>
      </c>
      <c r="J237" s="27">
        <v>53.999999999999986</v>
      </c>
      <c r="K237" s="26" t="s">
        <v>53</v>
      </c>
      <c r="L237" s="26" t="s">
        <v>18</v>
      </c>
    </row>
    <row r="238" spans="2:12" x14ac:dyDescent="0.3">
      <c r="B238" s="26">
        <v>231</v>
      </c>
      <c r="C238" s="25">
        <v>44410</v>
      </c>
      <c r="D238" s="26" t="s">
        <v>10</v>
      </c>
      <c r="E238" s="26" t="s">
        <v>563</v>
      </c>
      <c r="F238" s="43" t="s">
        <v>132</v>
      </c>
      <c r="G238" s="43" t="s">
        <v>190</v>
      </c>
      <c r="H238" s="43">
        <v>0.2590277777777778</v>
      </c>
      <c r="I238" s="26" t="s">
        <v>20</v>
      </c>
      <c r="J238" s="27">
        <v>55.95</v>
      </c>
      <c r="K238" s="26" t="s">
        <v>64</v>
      </c>
      <c r="L238" s="26" t="s">
        <v>18</v>
      </c>
    </row>
    <row r="239" spans="2:12" x14ac:dyDescent="0.3">
      <c r="B239" s="26">
        <v>232</v>
      </c>
      <c r="C239" s="25">
        <v>44375</v>
      </c>
      <c r="D239" s="26" t="s">
        <v>10</v>
      </c>
      <c r="E239" s="26" t="s">
        <v>564</v>
      </c>
      <c r="F239" s="43" t="s">
        <v>29</v>
      </c>
      <c r="G239" s="43" t="s">
        <v>565</v>
      </c>
      <c r="H239" s="43">
        <v>0.10972222222222228</v>
      </c>
      <c r="I239" s="26" t="s">
        <v>31</v>
      </c>
      <c r="J239" s="27">
        <v>23.70000000000001</v>
      </c>
      <c r="K239" s="26" t="s">
        <v>17</v>
      </c>
      <c r="L239" s="26" t="s">
        <v>18</v>
      </c>
    </row>
    <row r="240" spans="2:12" x14ac:dyDescent="0.3">
      <c r="B240" s="26">
        <v>233</v>
      </c>
      <c r="C240" s="25">
        <v>44434</v>
      </c>
      <c r="D240" s="26" t="s">
        <v>7</v>
      </c>
      <c r="E240" s="26" t="s">
        <v>566</v>
      </c>
      <c r="F240" s="43" t="s">
        <v>262</v>
      </c>
      <c r="G240" s="43" t="s">
        <v>567</v>
      </c>
      <c r="H240" s="43">
        <v>0.19236111111111115</v>
      </c>
      <c r="I240" s="26" t="s">
        <v>31</v>
      </c>
      <c r="J240" s="27">
        <v>92.333333333333343</v>
      </c>
      <c r="K240" s="26" t="s">
        <v>57</v>
      </c>
      <c r="L240" s="26" t="s">
        <v>18</v>
      </c>
    </row>
    <row r="241" spans="2:12" x14ac:dyDescent="0.3">
      <c r="B241" s="26">
        <v>234</v>
      </c>
      <c r="C241" s="25">
        <v>44460</v>
      </c>
      <c r="D241" s="26" t="s">
        <v>8</v>
      </c>
      <c r="E241" s="26" t="s">
        <v>568</v>
      </c>
      <c r="F241" s="43" t="s">
        <v>569</v>
      </c>
      <c r="G241" s="43" t="s">
        <v>163</v>
      </c>
      <c r="H241" s="43">
        <v>0.24861111111111117</v>
      </c>
      <c r="I241" s="26" t="s">
        <v>31</v>
      </c>
      <c r="J241" s="27">
        <v>89.500000000000028</v>
      </c>
      <c r="K241" s="26" t="s">
        <v>134</v>
      </c>
      <c r="L241" s="26" t="s">
        <v>18</v>
      </c>
    </row>
    <row r="242" spans="2:12" x14ac:dyDescent="0.3">
      <c r="B242" s="26">
        <v>235</v>
      </c>
      <c r="C242" s="25">
        <v>44400</v>
      </c>
      <c r="D242" s="26" t="s">
        <v>9</v>
      </c>
      <c r="E242" s="26" t="s">
        <v>570</v>
      </c>
      <c r="F242" s="43" t="s">
        <v>571</v>
      </c>
      <c r="G242" s="43" t="s">
        <v>166</v>
      </c>
      <c r="H242" s="43">
        <v>5.0694444444444486E-2</v>
      </c>
      <c r="I242" s="26" t="s">
        <v>20</v>
      </c>
      <c r="J242" s="27">
        <v>14.600000000000012</v>
      </c>
      <c r="K242" s="26" t="s">
        <v>17</v>
      </c>
      <c r="L242" s="26" t="s">
        <v>18</v>
      </c>
    </row>
    <row r="243" spans="2:12" x14ac:dyDescent="0.3">
      <c r="B243" s="26">
        <v>236</v>
      </c>
      <c r="C243" s="25">
        <v>44363</v>
      </c>
      <c r="D243" s="26" t="s">
        <v>10</v>
      </c>
      <c r="E243" s="26" t="s">
        <v>572</v>
      </c>
      <c r="F243" s="43" t="s">
        <v>377</v>
      </c>
      <c r="G243" s="43" t="s">
        <v>573</v>
      </c>
      <c r="H243" s="43">
        <v>0.27361111111111108</v>
      </c>
      <c r="I243" s="26" t="s">
        <v>20</v>
      </c>
      <c r="J243" s="27">
        <v>59.099999999999994</v>
      </c>
      <c r="K243" s="26" t="s">
        <v>53</v>
      </c>
      <c r="L243" s="26" t="s">
        <v>18</v>
      </c>
    </row>
    <row r="244" spans="2:12" x14ac:dyDescent="0.3">
      <c r="B244" s="26">
        <v>237</v>
      </c>
      <c r="C244" s="25">
        <v>44380</v>
      </c>
      <c r="D244" s="26" t="s">
        <v>10</v>
      </c>
      <c r="E244" s="26" t="s">
        <v>574</v>
      </c>
      <c r="F244" s="43" t="s">
        <v>132</v>
      </c>
      <c r="G244" s="43" t="s">
        <v>163</v>
      </c>
      <c r="H244" s="43">
        <v>0.26458333333333334</v>
      </c>
      <c r="I244" s="26" t="s">
        <v>31</v>
      </c>
      <c r="J244" s="27">
        <v>57.15</v>
      </c>
      <c r="K244" s="26" t="s">
        <v>77</v>
      </c>
      <c r="L244" s="26" t="s">
        <v>18</v>
      </c>
    </row>
    <row r="245" spans="2:12" x14ac:dyDescent="0.3">
      <c r="B245" s="26">
        <v>238</v>
      </c>
      <c r="C245" s="25">
        <v>44355</v>
      </c>
      <c r="D245" s="26" t="s">
        <v>10</v>
      </c>
      <c r="E245" s="26" t="s">
        <v>575</v>
      </c>
      <c r="F245" s="43" t="s">
        <v>576</v>
      </c>
      <c r="G245" s="43" t="s">
        <v>193</v>
      </c>
      <c r="H245" s="43">
        <v>0.19791666666666663</v>
      </c>
      <c r="I245" s="26" t="s">
        <v>31</v>
      </c>
      <c r="J245" s="27">
        <v>42.749999999999993</v>
      </c>
      <c r="K245" s="26" t="s">
        <v>96</v>
      </c>
      <c r="L245" s="26" t="s">
        <v>18</v>
      </c>
    </row>
    <row r="246" spans="2:12" x14ac:dyDescent="0.3">
      <c r="B246" s="26">
        <v>239</v>
      </c>
      <c r="C246" s="25">
        <v>44359</v>
      </c>
      <c r="D246" s="26" t="s">
        <v>8</v>
      </c>
      <c r="E246" s="26" t="s">
        <v>577</v>
      </c>
      <c r="F246" s="43" t="s">
        <v>578</v>
      </c>
      <c r="G246" s="43" t="s">
        <v>112</v>
      </c>
      <c r="H246" s="43">
        <v>0.18263888888888885</v>
      </c>
      <c r="I246" s="26" t="s">
        <v>31</v>
      </c>
      <c r="J246" s="27">
        <v>65.75</v>
      </c>
      <c r="K246" s="26" t="s">
        <v>64</v>
      </c>
      <c r="L246" s="26" t="s">
        <v>18</v>
      </c>
    </row>
    <row r="247" spans="2:12" x14ac:dyDescent="0.3">
      <c r="B247" s="26">
        <v>240</v>
      </c>
      <c r="C247" s="25">
        <v>44369</v>
      </c>
      <c r="D247" s="26" t="s">
        <v>7</v>
      </c>
      <c r="E247" s="26" t="s">
        <v>579</v>
      </c>
      <c r="F247" s="43" t="s">
        <v>580</v>
      </c>
      <c r="G247" s="43" t="s">
        <v>581</v>
      </c>
      <c r="H247" s="43">
        <v>4.6527777777777779E-2</v>
      </c>
      <c r="I247" s="26" t="s">
        <v>31</v>
      </c>
      <c r="J247" s="27">
        <v>22.333333333333336</v>
      </c>
      <c r="K247" s="26" t="s">
        <v>64</v>
      </c>
      <c r="L247" s="26" t="s">
        <v>18</v>
      </c>
    </row>
    <row r="248" spans="2:12" x14ac:dyDescent="0.3">
      <c r="B248" s="26">
        <v>241</v>
      </c>
      <c r="C248" s="25">
        <v>44413</v>
      </c>
      <c r="D248" s="26" t="s">
        <v>9</v>
      </c>
      <c r="E248" s="26" t="s">
        <v>582</v>
      </c>
      <c r="F248" s="43" t="s">
        <v>516</v>
      </c>
      <c r="G248" s="43" t="s">
        <v>395</v>
      </c>
      <c r="H248" s="43">
        <v>0.13194444444444436</v>
      </c>
      <c r="I248" s="26" t="s">
        <v>31</v>
      </c>
      <c r="J248" s="27">
        <v>37.999999999999979</v>
      </c>
      <c r="K248" s="26" t="s">
        <v>35</v>
      </c>
      <c r="L248" s="26" t="s">
        <v>18</v>
      </c>
    </row>
    <row r="249" spans="2:12" x14ac:dyDescent="0.3">
      <c r="B249" s="26">
        <v>242</v>
      </c>
      <c r="C249" s="25">
        <v>44422</v>
      </c>
      <c r="D249" s="26" t="s">
        <v>9</v>
      </c>
      <c r="E249" s="26" t="s">
        <v>583</v>
      </c>
      <c r="F249" s="43" t="s">
        <v>580</v>
      </c>
      <c r="G249" s="43" t="s">
        <v>217</v>
      </c>
      <c r="H249" s="43">
        <v>0.19375000000000003</v>
      </c>
      <c r="I249" s="26" t="s">
        <v>31</v>
      </c>
      <c r="J249" s="27">
        <v>55.800000000000004</v>
      </c>
      <c r="K249" s="26" t="s">
        <v>117</v>
      </c>
      <c r="L249" s="26" t="s">
        <v>18</v>
      </c>
    </row>
    <row r="250" spans="2:12" x14ac:dyDescent="0.3">
      <c r="B250" s="26">
        <v>243</v>
      </c>
      <c r="C250" s="25">
        <v>44379</v>
      </c>
      <c r="D250" s="26" t="s">
        <v>8</v>
      </c>
      <c r="E250" s="26" t="s">
        <v>584</v>
      </c>
      <c r="F250" s="43" t="s">
        <v>585</v>
      </c>
      <c r="G250" s="43" t="s">
        <v>371</v>
      </c>
      <c r="H250" s="43">
        <v>0.21250000000000008</v>
      </c>
      <c r="I250" s="26" t="s">
        <v>31</v>
      </c>
      <c r="J250" s="27">
        <v>76.500000000000028</v>
      </c>
      <c r="K250" s="26" t="s">
        <v>90</v>
      </c>
      <c r="L250" s="26" t="s">
        <v>18</v>
      </c>
    </row>
    <row r="251" spans="2:12" x14ac:dyDescent="0.3">
      <c r="B251" s="26">
        <v>244</v>
      </c>
      <c r="C251" s="25">
        <v>44369</v>
      </c>
      <c r="D251" s="26" t="s">
        <v>8</v>
      </c>
      <c r="E251" s="26" t="s">
        <v>586</v>
      </c>
      <c r="F251" s="43" t="s">
        <v>180</v>
      </c>
      <c r="G251" s="43" t="s">
        <v>587</v>
      </c>
      <c r="H251" s="43">
        <v>0.1125000000000001</v>
      </c>
      <c r="I251" s="26" t="s">
        <v>20</v>
      </c>
      <c r="J251" s="27">
        <v>40.500000000000036</v>
      </c>
      <c r="K251" s="26" t="s">
        <v>64</v>
      </c>
      <c r="L251" s="26" t="s">
        <v>18</v>
      </c>
    </row>
    <row r="252" spans="2:12" x14ac:dyDescent="0.3">
      <c r="B252" s="26">
        <v>245</v>
      </c>
      <c r="C252" s="25">
        <v>44385</v>
      </c>
      <c r="D252" s="26" t="s">
        <v>8</v>
      </c>
      <c r="E252" s="26" t="s">
        <v>588</v>
      </c>
      <c r="F252" s="43" t="s">
        <v>589</v>
      </c>
      <c r="G252" s="43" t="s">
        <v>470</v>
      </c>
      <c r="H252" s="43">
        <v>0.2277777777777778</v>
      </c>
      <c r="I252" s="26" t="s">
        <v>31</v>
      </c>
      <c r="J252" s="27">
        <v>82</v>
      </c>
      <c r="K252" s="26" t="s">
        <v>64</v>
      </c>
      <c r="L252" s="26" t="s">
        <v>18</v>
      </c>
    </row>
    <row r="253" spans="2:12" x14ac:dyDescent="0.3">
      <c r="B253" s="26">
        <v>246</v>
      </c>
      <c r="C253" s="25">
        <v>44357</v>
      </c>
      <c r="D253" s="26" t="s">
        <v>7</v>
      </c>
      <c r="E253" s="26" t="s">
        <v>590</v>
      </c>
      <c r="F253" s="43" t="s">
        <v>591</v>
      </c>
      <c r="G253" s="43" t="s">
        <v>592</v>
      </c>
      <c r="H253" s="43">
        <v>0.21180555555555552</v>
      </c>
      <c r="I253" s="26" t="s">
        <v>31</v>
      </c>
      <c r="J253" s="27">
        <v>101.66666666666664</v>
      </c>
      <c r="K253" s="26" t="s">
        <v>134</v>
      </c>
      <c r="L253" s="26" t="s">
        <v>18</v>
      </c>
    </row>
    <row r="254" spans="2:12" x14ac:dyDescent="0.3">
      <c r="B254" s="26">
        <v>247</v>
      </c>
      <c r="C254" s="25">
        <v>44452</v>
      </c>
      <c r="D254" s="26" t="s">
        <v>9</v>
      </c>
      <c r="E254" s="26" t="s">
        <v>593</v>
      </c>
      <c r="F254" s="43" t="s">
        <v>101</v>
      </c>
      <c r="G254" s="43" t="s">
        <v>594</v>
      </c>
      <c r="H254" s="43">
        <v>0.21388888888888891</v>
      </c>
      <c r="I254" s="26" t="s">
        <v>20</v>
      </c>
      <c r="J254" s="27">
        <v>61.600000000000009</v>
      </c>
      <c r="K254" s="26" t="s">
        <v>53</v>
      </c>
      <c r="L254" s="26" t="s">
        <v>18</v>
      </c>
    </row>
    <row r="255" spans="2:12" x14ac:dyDescent="0.3">
      <c r="B255" s="26">
        <v>248</v>
      </c>
      <c r="C255" s="25">
        <v>44369</v>
      </c>
      <c r="D255" s="26" t="s">
        <v>8</v>
      </c>
      <c r="E255" s="26" t="s">
        <v>595</v>
      </c>
      <c r="F255" s="43" t="s">
        <v>221</v>
      </c>
      <c r="G255" s="43" t="s">
        <v>531</v>
      </c>
      <c r="H255" s="43">
        <v>0.23402777777777783</v>
      </c>
      <c r="I255" s="26" t="s">
        <v>20</v>
      </c>
      <c r="J255" s="27">
        <v>84.250000000000014</v>
      </c>
      <c r="K255" s="26" t="s">
        <v>96</v>
      </c>
      <c r="L255" s="26" t="s">
        <v>18</v>
      </c>
    </row>
    <row r="256" spans="2:12" x14ac:dyDescent="0.3">
      <c r="B256" s="26">
        <v>249</v>
      </c>
      <c r="C256" s="25">
        <v>44461</v>
      </c>
      <c r="D256" s="26" t="s">
        <v>9</v>
      </c>
      <c r="E256" s="26" t="s">
        <v>596</v>
      </c>
      <c r="F256" s="43" t="s">
        <v>516</v>
      </c>
      <c r="G256" s="43" t="s">
        <v>176</v>
      </c>
      <c r="H256" s="43">
        <v>0.10833333333333334</v>
      </c>
      <c r="I256" s="26" t="s">
        <v>31</v>
      </c>
      <c r="J256" s="27">
        <v>31.200000000000003</v>
      </c>
      <c r="K256" s="26" t="s">
        <v>77</v>
      </c>
      <c r="L256" s="26" t="s">
        <v>18</v>
      </c>
    </row>
    <row r="257" spans="2:12" x14ac:dyDescent="0.3">
      <c r="B257" s="26">
        <v>250</v>
      </c>
      <c r="C257" s="25">
        <v>44445</v>
      </c>
      <c r="D257" s="26" t="s">
        <v>9</v>
      </c>
      <c r="E257" s="26" t="s">
        <v>597</v>
      </c>
      <c r="F257" s="43" t="s">
        <v>598</v>
      </c>
      <c r="G257" s="43" t="s">
        <v>599</v>
      </c>
      <c r="H257" s="43">
        <v>0.35694444444444445</v>
      </c>
      <c r="I257" s="26" t="s">
        <v>20</v>
      </c>
      <c r="J257" s="27">
        <v>102.8</v>
      </c>
      <c r="K257" s="26" t="s">
        <v>49</v>
      </c>
      <c r="L257" s="26" t="s">
        <v>18</v>
      </c>
    </row>
    <row r="258" spans="2:12" x14ac:dyDescent="0.3">
      <c r="B258" s="26">
        <v>251</v>
      </c>
      <c r="C258" s="25">
        <v>44364</v>
      </c>
      <c r="D258" s="26" t="s">
        <v>8</v>
      </c>
      <c r="E258" s="26" t="s">
        <v>600</v>
      </c>
      <c r="F258" s="43" t="s">
        <v>601</v>
      </c>
      <c r="G258" s="43" t="s">
        <v>209</v>
      </c>
      <c r="H258" s="43">
        <v>0.24236111111111114</v>
      </c>
      <c r="I258" s="26" t="s">
        <v>31</v>
      </c>
      <c r="J258" s="27">
        <v>87.250000000000014</v>
      </c>
      <c r="K258" s="26" t="s">
        <v>90</v>
      </c>
      <c r="L258" s="26" t="s">
        <v>18</v>
      </c>
    </row>
    <row r="259" spans="2:12" x14ac:dyDescent="0.3">
      <c r="B259" s="26">
        <v>252</v>
      </c>
      <c r="C259" s="25">
        <v>44397</v>
      </c>
      <c r="D259" s="26" t="s">
        <v>8</v>
      </c>
      <c r="E259" s="26" t="s">
        <v>602</v>
      </c>
      <c r="F259" s="43" t="s">
        <v>360</v>
      </c>
      <c r="G259" s="43" t="s">
        <v>603</v>
      </c>
      <c r="H259" s="43">
        <v>0.1784722222222222</v>
      </c>
      <c r="I259" s="26" t="s">
        <v>20</v>
      </c>
      <c r="J259" s="27">
        <v>64.25</v>
      </c>
      <c r="K259" s="26" t="s">
        <v>49</v>
      </c>
      <c r="L259" s="26" t="s">
        <v>18</v>
      </c>
    </row>
    <row r="260" spans="2:12" x14ac:dyDescent="0.3">
      <c r="B260" s="26">
        <v>253</v>
      </c>
      <c r="C260" s="25">
        <v>44458</v>
      </c>
      <c r="D260" s="26" t="s">
        <v>7</v>
      </c>
      <c r="E260" s="26" t="s">
        <v>604</v>
      </c>
      <c r="F260" s="43" t="s">
        <v>605</v>
      </c>
      <c r="G260" s="43" t="s">
        <v>215</v>
      </c>
      <c r="H260" s="43">
        <v>0.15624999999999994</v>
      </c>
      <c r="I260" s="26" t="s">
        <v>20</v>
      </c>
      <c r="J260" s="27">
        <v>74.999999999999972</v>
      </c>
      <c r="K260" s="26" t="s">
        <v>49</v>
      </c>
      <c r="L260" s="26" t="s">
        <v>18</v>
      </c>
    </row>
    <row r="261" spans="2:12" x14ac:dyDescent="0.3">
      <c r="B261" s="22" t="s">
        <v>887</v>
      </c>
      <c r="C261" s="10">
        <v>44482</v>
      </c>
      <c r="D261" s="22" t="s">
        <v>888</v>
      </c>
      <c r="E261" s="22" t="s">
        <v>889</v>
      </c>
      <c r="F261" s="44" t="s">
        <v>890</v>
      </c>
      <c r="G261" s="44" t="s">
        <v>891</v>
      </c>
      <c r="H261" s="42">
        <v>1.8055555555555557E-2</v>
      </c>
      <c r="I261" s="22" t="s">
        <v>31</v>
      </c>
      <c r="J261" s="12">
        <v>8.67</v>
      </c>
      <c r="K261" s="22" t="s">
        <v>57</v>
      </c>
      <c r="L261" s="22" t="s">
        <v>18</v>
      </c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057B5-04A2-40E9-ADF2-E169FC96C859}">
  <sheetPr codeName="PlanFiltro"/>
  <dimension ref="B1:N385"/>
  <sheetViews>
    <sheetView showGridLines="0" topLeftCell="B4" workbookViewId="0">
      <selection activeCell="I29" sqref="I29"/>
    </sheetView>
  </sheetViews>
  <sheetFormatPr defaultRowHeight="14.4" x14ac:dyDescent="0.3"/>
  <cols>
    <col min="1" max="1" width="206.6640625" customWidth="1"/>
    <col min="2" max="2" width="11" bestFit="1" customWidth="1"/>
    <col min="3" max="3" width="12.88671875" bestFit="1" customWidth="1"/>
    <col min="4" max="4" width="10.33203125" bestFit="1" customWidth="1"/>
    <col min="5" max="5" width="10.33203125" style="28" bestFit="1" customWidth="1"/>
    <col min="6" max="6" width="12.88671875" style="28" bestFit="1" customWidth="1"/>
    <col min="7" max="7" width="18.33203125" style="28" bestFit="1" customWidth="1"/>
    <col min="8" max="8" width="12.88671875" bestFit="1" customWidth="1"/>
    <col min="9" max="9" width="8.88671875" style="12"/>
    <col min="10" max="10" width="11.88671875" bestFit="1" customWidth="1"/>
    <col min="11" max="12" width="11" bestFit="1" customWidth="1"/>
    <col min="13" max="14" width="10.77734375" bestFit="1" customWidth="1"/>
  </cols>
  <sheetData>
    <row r="1" spans="2:10" ht="388.8" customHeight="1" x14ac:dyDescent="0.3"/>
    <row r="4" spans="2:10" x14ac:dyDescent="0.3">
      <c r="E4" s="33"/>
    </row>
    <row r="5" spans="2:10" x14ac:dyDescent="0.3">
      <c r="B5" s="7" t="s">
        <v>871</v>
      </c>
      <c r="C5" s="7" t="s">
        <v>872</v>
      </c>
      <c r="G5" s="34" t="s">
        <v>885</v>
      </c>
      <c r="H5" s="35" t="s">
        <v>886</v>
      </c>
      <c r="J5" s="31"/>
    </row>
    <row r="6" spans="2:10" x14ac:dyDescent="0.3">
      <c r="B6" s="3" t="s">
        <v>859</v>
      </c>
      <c r="C6" s="4">
        <f t="array" aca="1" ref="C6" ca="1">SUM(IF(MONTH(INDEX(BD,,2))=ROW(A1),INDEX(BD,,9)))</f>
        <v>0</v>
      </c>
      <c r="G6" s="36" t="s">
        <v>873</v>
      </c>
      <c r="H6" s="37">
        <f ca="1">SUM(INDEX(BD,,9))</f>
        <v>16367.270000000002</v>
      </c>
    </row>
    <row r="7" spans="2:10" x14ac:dyDescent="0.3">
      <c r="B7" s="3" t="s">
        <v>860</v>
      </c>
      <c r="C7" s="4">
        <f t="array" aca="1" ref="C7" ca="1">SUM(IF(MONTH(INDEX(BD,,2))=ROW(A2),INDEX(BD,,9)))</f>
        <v>0</v>
      </c>
      <c r="G7" s="38" t="s">
        <v>880</v>
      </c>
      <c r="H7" s="39">
        <f ca="1">H6/12</f>
        <v>1363.9391666666668</v>
      </c>
    </row>
    <row r="8" spans="2:10" x14ac:dyDescent="0.3">
      <c r="B8" s="3" t="s">
        <v>861</v>
      </c>
      <c r="C8" s="4">
        <f t="array" aca="1" ref="C8" ca="1">SUM(IF(MONTH(INDEX(BD,,2))=ROW(A3),INDEX(BD,,9)))</f>
        <v>0</v>
      </c>
      <c r="G8" s="36" t="s">
        <v>875</v>
      </c>
      <c r="H8" s="37">
        <f ca="1">MAX(C6:C17)</f>
        <v>5043.7</v>
      </c>
    </row>
    <row r="9" spans="2:10" x14ac:dyDescent="0.3">
      <c r="B9" s="3" t="s">
        <v>862</v>
      </c>
      <c r="C9" s="4">
        <f t="array" aca="1" ref="C9" ca="1">SUM(IF(MONTH(INDEX(BD,,2))=ROW(A4),INDEX(BD,,9)))</f>
        <v>0</v>
      </c>
      <c r="G9" s="38" t="s">
        <v>876</v>
      </c>
      <c r="H9" s="39">
        <f t="array" aca="1" ref="H9" ca="1">SMALL(C6:C17,12-SUM(IF(C6:C17&lt;&gt;0,1,0))+1)</f>
        <v>48.569999999999986</v>
      </c>
    </row>
    <row r="10" spans="2:10" x14ac:dyDescent="0.3">
      <c r="B10" s="3" t="s">
        <v>863</v>
      </c>
      <c r="C10" s="4">
        <f t="array" aca="1" ref="C10" ca="1">SUM(IF(MONTH(INDEX(BD,,2))=ROW(A5),INDEX(BD,,9)))</f>
        <v>0</v>
      </c>
      <c r="G10" s="40" t="s">
        <v>874</v>
      </c>
      <c r="H10" s="41">
        <f ca="1">COUNTA(INDEX(BD,,9))</f>
        <v>254</v>
      </c>
    </row>
    <row r="11" spans="2:10" x14ac:dyDescent="0.3">
      <c r="B11" s="3" t="s">
        <v>864</v>
      </c>
      <c r="C11" s="4">
        <f t="array" aca="1" ref="C11" ca="1">SUM(IF(MONTH(INDEX(BD,,2))=ROW(A6),INDEX(BD,,9)))</f>
        <v>4087.0833333333321</v>
      </c>
    </row>
    <row r="12" spans="2:10" x14ac:dyDescent="0.3">
      <c r="B12" s="3" t="s">
        <v>865</v>
      </c>
      <c r="C12" s="4">
        <f t="array" aca="1" ref="C12" ca="1">SUM(IF(MONTH(INDEX(BD,,2))=ROW(A7),INDEX(BD,,9)))</f>
        <v>3743.2</v>
      </c>
    </row>
    <row r="13" spans="2:10" x14ac:dyDescent="0.3">
      <c r="B13" s="3" t="s">
        <v>866</v>
      </c>
      <c r="C13" s="4">
        <f t="array" aca="1" ref="C13" ca="1">SUM(IF(MONTH(INDEX(BD,,2))=ROW(A8),INDEX(BD,,9)))</f>
        <v>5043.7</v>
      </c>
    </row>
    <row r="14" spans="2:10" x14ac:dyDescent="0.3">
      <c r="B14" s="3" t="s">
        <v>867</v>
      </c>
      <c r="C14" s="4">
        <f t="array" aca="1" ref="C14" ca="1">SUM(IF(MONTH(INDEX(BD,,2))=ROW(A9),INDEX(BD,,9)))</f>
        <v>3444.7166666666672</v>
      </c>
      <c r="I14" s="8"/>
    </row>
    <row r="15" spans="2:10" x14ac:dyDescent="0.3">
      <c r="B15" s="3" t="s">
        <v>868</v>
      </c>
      <c r="C15" s="4">
        <f t="array" aca="1" ref="C15" ca="1">SUM(IF(MONTH(INDEX(BD,,2))=ROW(A10),INDEX(BD,,9)))</f>
        <v>48.569999999999986</v>
      </c>
      <c r="I15"/>
    </row>
    <row r="16" spans="2:10" x14ac:dyDescent="0.3">
      <c r="B16" s="3" t="s">
        <v>869</v>
      </c>
      <c r="C16" s="4">
        <f t="array" aca="1" ref="C16" ca="1">SUM(IF(MONTH(INDEX(BD,,2))=ROW(A11),INDEX(BD,,9)))</f>
        <v>0</v>
      </c>
      <c r="G16" s="8"/>
      <c r="I16"/>
    </row>
    <row r="17" spans="2:14" x14ac:dyDescent="0.3">
      <c r="B17" s="3" t="s">
        <v>870</v>
      </c>
      <c r="C17" s="4">
        <f t="array" aca="1" ref="C17" ca="1">SUM(IF(MONTH(INDEX(BD,,2))=ROW(A12),INDEX(BD,,9)))</f>
        <v>0</v>
      </c>
    </row>
    <row r="20" spans="2:14" x14ac:dyDescent="0.3">
      <c r="B20" s="7" t="s">
        <v>871</v>
      </c>
      <c r="C20" s="7" t="s">
        <v>872</v>
      </c>
      <c r="D20" s="7" t="s">
        <v>874</v>
      </c>
      <c r="E20" s="7" t="s">
        <v>877</v>
      </c>
      <c r="F20" s="30" t="s">
        <v>878</v>
      </c>
      <c r="G20" s="30" t="s">
        <v>879</v>
      </c>
      <c r="I20" s="3" t="s">
        <v>881</v>
      </c>
      <c r="J20" s="32">
        <f>MATCH(L20,L22:L33,0)</f>
        <v>9</v>
      </c>
      <c r="L20" s="3" t="s">
        <v>867</v>
      </c>
      <c r="N20" s="3" t="s">
        <v>872</v>
      </c>
    </row>
    <row r="21" spans="2:14" x14ac:dyDescent="0.3">
      <c r="B21" s="29">
        <v>44197</v>
      </c>
      <c r="C21" s="4">
        <f t="array" aca="1" ref="C21" ca="1">SUM(IF(B21=INDEX(BD,,2),INDEX(BD,,9),""))</f>
        <v>0</v>
      </c>
      <c r="D21" s="17">
        <f t="array" aca="1" ref="D21" ca="1">COUNT(IF(B21=INDEX(BD,,2),INDEX(BD,,9),""))</f>
        <v>0</v>
      </c>
      <c r="E21" s="4">
        <f t="array" aca="1" ref="E21" ca="1">IFERROR(AVERAGE(IF(B21=INDEX(BD,,2),INDEX(BD,,9),"")),0)</f>
        <v>0</v>
      </c>
      <c r="F21" s="4">
        <f t="array" aca="1" ref="F21" ca="1">MAX(IF(B21=INDEX(BD,,2),INDEX(BD,,9),""))</f>
        <v>0</v>
      </c>
      <c r="G21" s="4">
        <f t="array" aca="1" ref="G21" ca="1">MIN(IF(B21=INDEX(BD,,2),INDEX(BD,,9),0))</f>
        <v>0</v>
      </c>
      <c r="I21" s="3" t="s">
        <v>882</v>
      </c>
      <c r="J21" s="32">
        <f t="array" ref="J21">MATCH($J$20,MONTH($B$21:$B$385),0)</f>
        <v>244</v>
      </c>
    </row>
    <row r="22" spans="2:14" x14ac:dyDescent="0.3">
      <c r="B22" s="29">
        <v>44198</v>
      </c>
      <c r="C22" s="4">
        <f t="array" aca="1" ref="C22" ca="1">SUM(IF(B22=INDEX(BD,,2),INDEX(BD,,9),""))</f>
        <v>0</v>
      </c>
      <c r="D22" s="17">
        <f t="array" aca="1" ref="D22" ca="1">COUNT(IF(B22=INDEX(BD,,2),INDEX(BD,,9),""))</f>
        <v>0</v>
      </c>
      <c r="E22" s="4">
        <f t="array" aca="1" ref="E22" ca="1">IFERROR(AVERAGE(IF(B22=INDEX(BD,,2),INDEX(BD,,9),"")),0)</f>
        <v>0</v>
      </c>
      <c r="F22" s="4">
        <f t="array" aca="1" ref="F22" ca="1">MAX(IF(B22=INDEX(BD,,2),INDEX(BD,,9),""))</f>
        <v>0</v>
      </c>
      <c r="G22" s="4">
        <f t="array" aca="1" ref="G22" ca="1">MIN(IF(B22=INDEX(BD,,2),INDEX(BD,,9),0))</f>
        <v>0</v>
      </c>
      <c r="I22" s="3" t="s">
        <v>883</v>
      </c>
      <c r="J22" s="32">
        <f>SUMPRODUCT(--(MONTH($B$21:$B$385)=$J$20))</f>
        <v>30</v>
      </c>
      <c r="L22" s="3" t="s">
        <v>859</v>
      </c>
      <c r="N22" s="3" t="str">
        <f t="array" ref="N22:N26">TRANSPOSE(C20:G20)</f>
        <v>TOTAL</v>
      </c>
    </row>
    <row r="23" spans="2:14" x14ac:dyDescent="0.3">
      <c r="B23" s="29">
        <v>44199</v>
      </c>
      <c r="C23" s="4">
        <f t="array" aca="1" ref="C23" ca="1">SUM(IF(B23=INDEX(BD,,2),INDEX(BD,,9),""))</f>
        <v>0</v>
      </c>
      <c r="D23" s="17">
        <f t="array" aca="1" ref="D23" ca="1">COUNT(IF(B23=INDEX(BD,,2),INDEX(BD,,9),""))</f>
        <v>0</v>
      </c>
      <c r="E23" s="4">
        <f t="array" aca="1" ref="E23" ca="1">IFERROR(AVERAGE(IF(B23=INDEX(BD,,2),INDEX(BD,,9),"")),0)</f>
        <v>0</v>
      </c>
      <c r="F23" s="4">
        <f t="array" aca="1" ref="F23" ca="1">MAX(IF(B23=INDEX(BD,,2),INDEX(BD,,9),""))</f>
        <v>0</v>
      </c>
      <c r="G23" s="4">
        <f t="array" aca="1" ref="G23" ca="1">MIN(IF(B23=INDEX(BD,,2),INDEX(BD,,9),0))</f>
        <v>0</v>
      </c>
      <c r="I23" s="3" t="s">
        <v>884</v>
      </c>
      <c r="J23" s="32">
        <f>MATCH(N20,N22:N26,0)</f>
        <v>1</v>
      </c>
      <c r="L23" s="3" t="s">
        <v>860</v>
      </c>
      <c r="N23" s="3" t="str">
        <v>CONTAGEM</v>
      </c>
    </row>
    <row r="24" spans="2:14" x14ac:dyDescent="0.3">
      <c r="B24" s="29">
        <v>44200</v>
      </c>
      <c r="C24" s="4">
        <f t="array" aca="1" ref="C24" ca="1">SUM(IF(B24=INDEX(BD,,2),INDEX(BD,,9),""))</f>
        <v>0</v>
      </c>
      <c r="D24" s="17">
        <f t="array" aca="1" ref="D24" ca="1">COUNT(IF(B24=INDEX(BD,,2),INDEX(BD,,9),""))</f>
        <v>0</v>
      </c>
      <c r="E24" s="4">
        <f t="array" aca="1" ref="E24" ca="1">IFERROR(AVERAGE(IF(B24=INDEX(BD,,2),INDEX(BD,,9),"")),0)</f>
        <v>0</v>
      </c>
      <c r="F24" s="4">
        <f t="array" aca="1" ref="F24" ca="1">MAX(IF(B24=INDEX(BD,,2),INDEX(BD,,9),""))</f>
        <v>0</v>
      </c>
      <c r="G24" s="4">
        <f t="array" aca="1" ref="G24" ca="1">MIN(IF(B24=INDEX(BD,,2),INDEX(BD,,9),0))</f>
        <v>0</v>
      </c>
      <c r="I24"/>
      <c r="J24" s="12"/>
      <c r="L24" s="3" t="s">
        <v>861</v>
      </c>
      <c r="N24" s="3" t="str">
        <v>MÉDIA</v>
      </c>
    </row>
    <row r="25" spans="2:14" x14ac:dyDescent="0.3">
      <c r="B25" s="29">
        <v>44201</v>
      </c>
      <c r="C25" s="4">
        <f t="array" aca="1" ref="C25" ca="1">SUM(IF(B25=INDEX(BD,,2),INDEX(BD,,9),""))</f>
        <v>0</v>
      </c>
      <c r="D25" s="17">
        <f t="array" aca="1" ref="D25" ca="1">COUNT(IF(B25=INDEX(BD,,2),INDEX(BD,,9),""))</f>
        <v>0</v>
      </c>
      <c r="E25" s="4">
        <f t="array" aca="1" ref="E25" ca="1">IFERROR(AVERAGE(IF(B25=INDEX(BD,,2),INDEX(BD,,9),"")),0)</f>
        <v>0</v>
      </c>
      <c r="F25" s="4">
        <f t="array" aca="1" ref="F25" ca="1">MAX(IF(B25=INDEX(BD,,2),INDEX(BD,,9),""))</f>
        <v>0</v>
      </c>
      <c r="G25" s="4">
        <f t="array" aca="1" ref="G25" ca="1">MIN(IF(B25=INDEX(BD,,2),INDEX(BD,,9),0))</f>
        <v>0</v>
      </c>
      <c r="I25"/>
      <c r="J25" s="12"/>
      <c r="L25" s="3" t="s">
        <v>862</v>
      </c>
      <c r="N25" s="3" t="str">
        <v>MÁXIMO</v>
      </c>
    </row>
    <row r="26" spans="2:14" x14ac:dyDescent="0.3">
      <c r="B26" s="29">
        <v>44202</v>
      </c>
      <c r="C26" s="4">
        <f t="array" aca="1" ref="C26" ca="1">SUM(IF(B26=INDEX(BD,,2),INDEX(BD,,9),""))</f>
        <v>0</v>
      </c>
      <c r="D26" s="17">
        <f t="array" aca="1" ref="D26" ca="1">COUNT(IF(B26=INDEX(BD,,2),INDEX(BD,,9),""))</f>
        <v>0</v>
      </c>
      <c r="E26" s="4">
        <f t="array" aca="1" ref="E26" ca="1">IFERROR(AVERAGE(IF(B26=INDEX(BD,,2),INDEX(BD,,9),"")),0)</f>
        <v>0</v>
      </c>
      <c r="F26" s="4">
        <f t="array" aca="1" ref="F26" ca="1">MAX(IF(B26=INDEX(BD,,2),INDEX(BD,,9),""))</f>
        <v>0</v>
      </c>
      <c r="G26" s="4">
        <f t="array" aca="1" ref="G26" ca="1">MIN(IF(B26=INDEX(BD,,2),INDEX(BD,,9),0))</f>
        <v>0</v>
      </c>
      <c r="I26"/>
      <c r="J26" s="12"/>
      <c r="L26" s="3" t="s">
        <v>863</v>
      </c>
      <c r="N26" s="3" t="str">
        <v>MÍNIMO</v>
      </c>
    </row>
    <row r="27" spans="2:14" x14ac:dyDescent="0.3">
      <c r="B27" s="29">
        <v>44203</v>
      </c>
      <c r="C27" s="4">
        <f t="array" aca="1" ref="C27" ca="1">SUM(IF(B27=INDEX(BD,,2),INDEX(BD,,9),""))</f>
        <v>0</v>
      </c>
      <c r="D27" s="17">
        <f t="array" aca="1" ref="D27" ca="1">COUNT(IF(B27=INDEX(BD,,2),INDEX(BD,,9),""))</f>
        <v>0</v>
      </c>
      <c r="E27" s="4">
        <f t="array" aca="1" ref="E27" ca="1">IFERROR(AVERAGE(IF(B27=INDEX(BD,,2),INDEX(BD,,9),"")),0)</f>
        <v>0</v>
      </c>
      <c r="F27" s="4">
        <f t="array" aca="1" ref="F27" ca="1">MAX(IF(B27=INDEX(BD,,2),INDEX(BD,,9),""))</f>
        <v>0</v>
      </c>
      <c r="G27" s="4">
        <f t="array" aca="1" ref="G27" ca="1">MIN(IF(B27=INDEX(BD,,2),INDEX(BD,,9),0))</f>
        <v>0</v>
      </c>
      <c r="I27"/>
      <c r="J27" s="12"/>
      <c r="L27" s="3" t="s">
        <v>864</v>
      </c>
    </row>
    <row r="28" spans="2:14" x14ac:dyDescent="0.3">
      <c r="B28" s="29">
        <v>44204</v>
      </c>
      <c r="C28" s="4">
        <f t="array" aca="1" ref="C28" ca="1">SUM(IF(B28=INDEX(BD,,2),INDEX(BD,,9),""))</f>
        <v>0</v>
      </c>
      <c r="D28" s="17">
        <f t="array" aca="1" ref="D28" ca="1">COUNT(IF(B28=INDEX(BD,,2),INDEX(BD,,9),""))</f>
        <v>0</v>
      </c>
      <c r="E28" s="4">
        <f t="array" aca="1" ref="E28" ca="1">IFERROR(AVERAGE(IF(B28=INDEX(BD,,2),INDEX(BD,,9),"")),0)</f>
        <v>0</v>
      </c>
      <c r="F28" s="4">
        <f t="array" aca="1" ref="F28" ca="1">MAX(IF(B28=INDEX(BD,,2),INDEX(BD,,9),""))</f>
        <v>0</v>
      </c>
      <c r="G28" s="4">
        <f t="array" aca="1" ref="G28" ca="1">MIN(IF(B28=INDEX(BD,,2),INDEX(BD,,9),0))</f>
        <v>0</v>
      </c>
      <c r="I28"/>
      <c r="J28" s="12"/>
      <c r="L28" s="3" t="s">
        <v>865</v>
      </c>
    </row>
    <row r="29" spans="2:14" x14ac:dyDescent="0.3">
      <c r="B29" s="29">
        <v>44205</v>
      </c>
      <c r="C29" s="4">
        <f t="array" aca="1" ref="C29" ca="1">SUM(IF(B29=INDEX(BD,,2),INDEX(BD,,9),""))</f>
        <v>0</v>
      </c>
      <c r="D29" s="17">
        <f t="array" aca="1" ref="D29" ca="1">COUNT(IF(B29=INDEX(BD,,2),INDEX(BD,,9),""))</f>
        <v>0</v>
      </c>
      <c r="E29" s="4">
        <f t="array" aca="1" ref="E29" ca="1">IFERROR(AVERAGE(IF(B29=INDEX(BD,,2),INDEX(BD,,9),"")),0)</f>
        <v>0</v>
      </c>
      <c r="F29" s="4">
        <f t="array" aca="1" ref="F29" ca="1">MAX(IF(B29=INDEX(BD,,2),INDEX(BD,,9),""))</f>
        <v>0</v>
      </c>
      <c r="G29" s="4">
        <f t="array" aca="1" ref="G29" ca="1">MIN(IF(B29=INDEX(BD,,2),INDEX(BD,,9),0))</f>
        <v>0</v>
      </c>
      <c r="I29"/>
      <c r="J29" s="12"/>
      <c r="L29" s="3" t="s">
        <v>866</v>
      </c>
    </row>
    <row r="30" spans="2:14" x14ac:dyDescent="0.3">
      <c r="B30" s="29">
        <v>44206</v>
      </c>
      <c r="C30" s="4">
        <f t="array" aca="1" ref="C30" ca="1">SUM(IF(B30=INDEX(BD,,2),INDEX(BD,,9),""))</f>
        <v>0</v>
      </c>
      <c r="D30" s="17">
        <f t="array" aca="1" ref="D30" ca="1">COUNT(IF(B30=INDEX(BD,,2),INDEX(BD,,9),""))</f>
        <v>0</v>
      </c>
      <c r="E30" s="4">
        <f t="array" aca="1" ref="E30" ca="1">IFERROR(AVERAGE(IF(B30=INDEX(BD,,2),INDEX(BD,,9),"")),0)</f>
        <v>0</v>
      </c>
      <c r="F30" s="4">
        <f t="array" aca="1" ref="F30" ca="1">MAX(IF(B30=INDEX(BD,,2),INDEX(BD,,9),""))</f>
        <v>0</v>
      </c>
      <c r="G30" s="4">
        <f t="array" aca="1" ref="G30" ca="1">MIN(IF(B30=INDEX(BD,,2),INDEX(BD,,9),0))</f>
        <v>0</v>
      </c>
      <c r="I30"/>
      <c r="J30" s="12"/>
      <c r="L30" s="3" t="s">
        <v>867</v>
      </c>
    </row>
    <row r="31" spans="2:14" x14ac:dyDescent="0.3">
      <c r="B31" s="29">
        <v>44207</v>
      </c>
      <c r="C31" s="4">
        <f t="array" aca="1" ref="C31" ca="1">SUM(IF(B31=INDEX(BD,,2),INDEX(BD,,9),""))</f>
        <v>0</v>
      </c>
      <c r="D31" s="17">
        <f t="array" aca="1" ref="D31" ca="1">COUNT(IF(B31=INDEX(BD,,2),INDEX(BD,,9),""))</f>
        <v>0</v>
      </c>
      <c r="E31" s="4">
        <f t="array" aca="1" ref="E31" ca="1">IFERROR(AVERAGE(IF(B31=INDEX(BD,,2),INDEX(BD,,9),"")),0)</f>
        <v>0</v>
      </c>
      <c r="F31" s="4">
        <f t="array" aca="1" ref="F31" ca="1">MAX(IF(B31=INDEX(BD,,2),INDEX(BD,,9),""))</f>
        <v>0</v>
      </c>
      <c r="G31" s="4">
        <f t="array" aca="1" ref="G31" ca="1">MIN(IF(B31=INDEX(BD,,2),INDEX(BD,,9),0))</f>
        <v>0</v>
      </c>
      <c r="I31"/>
      <c r="J31" s="12"/>
      <c r="L31" s="3" t="s">
        <v>868</v>
      </c>
    </row>
    <row r="32" spans="2:14" x14ac:dyDescent="0.3">
      <c r="B32" s="29">
        <v>44208</v>
      </c>
      <c r="C32" s="4">
        <f t="array" aca="1" ref="C32" ca="1">SUM(IF(B32=INDEX(BD,,2),INDEX(BD,,9),""))</f>
        <v>0</v>
      </c>
      <c r="D32" s="17">
        <f t="array" aca="1" ref="D32" ca="1">COUNT(IF(B32=INDEX(BD,,2),INDEX(BD,,9),""))</f>
        <v>0</v>
      </c>
      <c r="E32" s="4">
        <f t="array" aca="1" ref="E32" ca="1">IFERROR(AVERAGE(IF(B32=INDEX(BD,,2),INDEX(BD,,9),"")),0)</f>
        <v>0</v>
      </c>
      <c r="F32" s="4">
        <f t="array" aca="1" ref="F32" ca="1">MAX(IF(B32=INDEX(BD,,2),INDEX(BD,,9),""))</f>
        <v>0</v>
      </c>
      <c r="G32" s="4">
        <f t="array" aca="1" ref="G32" ca="1">MIN(IF(B32=INDEX(BD,,2),INDEX(BD,,9),0))</f>
        <v>0</v>
      </c>
      <c r="I32"/>
      <c r="J32" s="12"/>
      <c r="L32" s="3" t="s">
        <v>869</v>
      </c>
    </row>
    <row r="33" spans="2:12" x14ac:dyDescent="0.3">
      <c r="B33" s="29">
        <v>44209</v>
      </c>
      <c r="C33" s="4">
        <f t="array" aca="1" ref="C33" ca="1">SUM(IF(B33=INDEX(BD,,2),INDEX(BD,,9),""))</f>
        <v>0</v>
      </c>
      <c r="D33" s="17">
        <f t="array" aca="1" ref="D33" ca="1">COUNT(IF(B33=INDEX(BD,,2),INDEX(BD,,9),""))</f>
        <v>0</v>
      </c>
      <c r="E33" s="4">
        <f t="array" aca="1" ref="E33" ca="1">IFERROR(AVERAGE(IF(B33=INDEX(BD,,2),INDEX(BD,,9),"")),0)</f>
        <v>0</v>
      </c>
      <c r="F33" s="4">
        <f t="array" aca="1" ref="F33" ca="1">MAX(IF(B33=INDEX(BD,,2),INDEX(BD,,9),""))</f>
        <v>0</v>
      </c>
      <c r="G33" s="4">
        <f t="array" aca="1" ref="G33" ca="1">MIN(IF(B33=INDEX(BD,,2),INDEX(BD,,9),0))</f>
        <v>0</v>
      </c>
      <c r="I33"/>
      <c r="J33" s="12"/>
      <c r="L33" s="3" t="s">
        <v>870</v>
      </c>
    </row>
    <row r="34" spans="2:12" x14ac:dyDescent="0.3">
      <c r="B34" s="29">
        <v>44210</v>
      </c>
      <c r="C34" s="4">
        <f t="array" aca="1" ref="C34" ca="1">SUM(IF(B34=INDEX(BD,,2),INDEX(BD,,9),""))</f>
        <v>0</v>
      </c>
      <c r="D34" s="17">
        <f t="array" aca="1" ref="D34" ca="1">COUNT(IF(B34=INDEX(BD,,2),INDEX(BD,,9),""))</f>
        <v>0</v>
      </c>
      <c r="E34" s="4">
        <f t="array" aca="1" ref="E34" ca="1">IFERROR(AVERAGE(IF(B34=INDEX(BD,,2),INDEX(BD,,9),"")),0)</f>
        <v>0</v>
      </c>
      <c r="F34" s="4">
        <f t="array" aca="1" ref="F34" ca="1">MAX(IF(B34=INDEX(BD,,2),INDEX(BD,,9),""))</f>
        <v>0</v>
      </c>
      <c r="G34" s="4">
        <f t="array" aca="1" ref="G34" ca="1">MIN(IF(B34=INDEX(BD,,2),INDEX(BD,,9),0))</f>
        <v>0</v>
      </c>
      <c r="I34"/>
      <c r="J34" s="12"/>
    </row>
    <row r="35" spans="2:12" x14ac:dyDescent="0.3">
      <c r="B35" s="29">
        <v>44211</v>
      </c>
      <c r="C35" s="4">
        <f t="array" aca="1" ref="C35" ca="1">SUM(IF(B35=INDEX(BD,,2),INDEX(BD,,9),""))</f>
        <v>0</v>
      </c>
      <c r="D35" s="17">
        <f t="array" aca="1" ref="D35" ca="1">COUNT(IF(B35=INDEX(BD,,2),INDEX(BD,,9),""))</f>
        <v>0</v>
      </c>
      <c r="E35" s="4">
        <f t="array" aca="1" ref="E35" ca="1">IFERROR(AVERAGE(IF(B35=INDEX(BD,,2),INDEX(BD,,9),"")),0)</f>
        <v>0</v>
      </c>
      <c r="F35" s="4">
        <f t="array" aca="1" ref="F35" ca="1">MAX(IF(B35=INDEX(BD,,2),INDEX(BD,,9),""))</f>
        <v>0</v>
      </c>
      <c r="G35" s="4">
        <f t="array" aca="1" ref="G35" ca="1">MIN(IF(B35=INDEX(BD,,2),INDEX(BD,,9),0))</f>
        <v>0</v>
      </c>
      <c r="I35"/>
      <c r="J35" s="12"/>
    </row>
    <row r="36" spans="2:12" x14ac:dyDescent="0.3">
      <c r="B36" s="29">
        <v>44212</v>
      </c>
      <c r="C36" s="4">
        <f t="array" aca="1" ref="C36" ca="1">SUM(IF(B36=INDEX(BD,,2),INDEX(BD,,9),""))</f>
        <v>0</v>
      </c>
      <c r="D36" s="17">
        <f t="array" aca="1" ref="D36" ca="1">COUNT(IF(B36=INDEX(BD,,2),INDEX(BD,,9),""))</f>
        <v>0</v>
      </c>
      <c r="E36" s="4">
        <f t="array" aca="1" ref="E36" ca="1">IFERROR(AVERAGE(IF(B36=INDEX(BD,,2),INDEX(BD,,9),"")),0)</f>
        <v>0</v>
      </c>
      <c r="F36" s="4">
        <f t="array" aca="1" ref="F36" ca="1">MAX(IF(B36=INDEX(BD,,2),INDEX(BD,,9),""))</f>
        <v>0</v>
      </c>
      <c r="G36" s="4">
        <f t="array" aca="1" ref="G36" ca="1">MIN(IF(B36=INDEX(BD,,2),INDEX(BD,,9),0))</f>
        <v>0</v>
      </c>
    </row>
    <row r="37" spans="2:12" x14ac:dyDescent="0.3">
      <c r="B37" s="29">
        <v>44213</v>
      </c>
      <c r="C37" s="4">
        <f t="array" aca="1" ref="C37" ca="1">SUM(IF(B37=INDEX(BD,,2),INDEX(BD,,9),""))</f>
        <v>0</v>
      </c>
      <c r="D37" s="17">
        <f t="array" aca="1" ref="D37" ca="1">COUNT(IF(B37=INDEX(BD,,2),INDEX(BD,,9),""))</f>
        <v>0</v>
      </c>
      <c r="E37" s="4">
        <f t="array" aca="1" ref="E37" ca="1">IFERROR(AVERAGE(IF(B37=INDEX(BD,,2),INDEX(BD,,9),"")),0)</f>
        <v>0</v>
      </c>
      <c r="F37" s="4">
        <f t="array" aca="1" ref="F37" ca="1">MAX(IF(B37=INDEX(BD,,2),INDEX(BD,,9),""))</f>
        <v>0</v>
      </c>
      <c r="G37" s="4">
        <f t="array" aca="1" ref="G37" ca="1">MIN(IF(B37=INDEX(BD,,2),INDEX(BD,,9),0))</f>
        <v>0</v>
      </c>
    </row>
    <row r="38" spans="2:12" x14ac:dyDescent="0.3">
      <c r="B38" s="29">
        <v>44214</v>
      </c>
      <c r="C38" s="4">
        <f t="array" aca="1" ref="C38" ca="1">SUM(IF(B38=INDEX(BD,,2),INDEX(BD,,9),""))</f>
        <v>0</v>
      </c>
      <c r="D38" s="17">
        <f t="array" aca="1" ref="D38" ca="1">COUNT(IF(B38=INDEX(BD,,2),INDEX(BD,,9),""))</f>
        <v>0</v>
      </c>
      <c r="E38" s="4">
        <f t="array" aca="1" ref="E38" ca="1">IFERROR(AVERAGE(IF(B38=INDEX(BD,,2),INDEX(BD,,9),"")),0)</f>
        <v>0</v>
      </c>
      <c r="F38" s="4">
        <f t="array" aca="1" ref="F38" ca="1">MAX(IF(B38=INDEX(BD,,2),INDEX(BD,,9),""))</f>
        <v>0</v>
      </c>
      <c r="G38" s="4">
        <f t="array" aca="1" ref="G38" ca="1">MIN(IF(B38=INDEX(BD,,2),INDEX(BD,,9),0))</f>
        <v>0</v>
      </c>
    </row>
    <row r="39" spans="2:12" x14ac:dyDescent="0.3">
      <c r="B39" s="29">
        <v>44215</v>
      </c>
      <c r="C39" s="4">
        <f t="array" aca="1" ref="C39" ca="1">SUM(IF(B39=INDEX(BD,,2),INDEX(BD,,9),""))</f>
        <v>0</v>
      </c>
      <c r="D39" s="17">
        <f t="array" aca="1" ref="D39" ca="1">COUNT(IF(B39=INDEX(BD,,2),INDEX(BD,,9),""))</f>
        <v>0</v>
      </c>
      <c r="E39" s="4">
        <f t="array" aca="1" ref="E39" ca="1">IFERROR(AVERAGE(IF(B39=INDEX(BD,,2),INDEX(BD,,9),"")),0)</f>
        <v>0</v>
      </c>
      <c r="F39" s="4">
        <f t="array" aca="1" ref="F39" ca="1">MAX(IF(B39=INDEX(BD,,2),INDEX(BD,,9),""))</f>
        <v>0</v>
      </c>
      <c r="G39" s="4">
        <f t="array" aca="1" ref="G39" ca="1">MIN(IF(B39=INDEX(BD,,2),INDEX(BD,,9),0))</f>
        <v>0</v>
      </c>
    </row>
    <row r="40" spans="2:12" x14ac:dyDescent="0.3">
      <c r="B40" s="29">
        <v>44216</v>
      </c>
      <c r="C40" s="4">
        <f t="array" aca="1" ref="C40" ca="1">SUM(IF(B40=INDEX(BD,,2),INDEX(BD,,9),""))</f>
        <v>0</v>
      </c>
      <c r="D40" s="17">
        <f t="array" aca="1" ref="D40" ca="1">COUNT(IF(B40=INDEX(BD,,2),INDEX(BD,,9),""))</f>
        <v>0</v>
      </c>
      <c r="E40" s="4">
        <f t="array" aca="1" ref="E40" ca="1">IFERROR(AVERAGE(IF(B40=INDEX(BD,,2),INDEX(BD,,9),"")),0)</f>
        <v>0</v>
      </c>
      <c r="F40" s="4">
        <f t="array" aca="1" ref="F40" ca="1">MAX(IF(B40=INDEX(BD,,2),INDEX(BD,,9),""))</f>
        <v>0</v>
      </c>
      <c r="G40" s="4">
        <f t="array" aca="1" ref="G40" ca="1">MIN(IF(B40=INDEX(BD,,2),INDEX(BD,,9),0))</f>
        <v>0</v>
      </c>
    </row>
    <row r="41" spans="2:12" x14ac:dyDescent="0.3">
      <c r="B41" s="29">
        <v>44217</v>
      </c>
      <c r="C41" s="4">
        <f t="array" aca="1" ref="C41" ca="1">SUM(IF(B41=INDEX(BD,,2),INDEX(BD,,9),""))</f>
        <v>0</v>
      </c>
      <c r="D41" s="17">
        <f t="array" aca="1" ref="D41" ca="1">COUNT(IF(B41=INDEX(BD,,2),INDEX(BD,,9),""))</f>
        <v>0</v>
      </c>
      <c r="E41" s="4">
        <f t="array" aca="1" ref="E41" ca="1">IFERROR(AVERAGE(IF(B41=INDEX(BD,,2),INDEX(BD,,9),"")),0)</f>
        <v>0</v>
      </c>
      <c r="F41" s="4">
        <f t="array" aca="1" ref="F41" ca="1">MAX(IF(B41=INDEX(BD,,2),INDEX(BD,,9),""))</f>
        <v>0</v>
      </c>
      <c r="G41" s="4">
        <f t="array" aca="1" ref="G41" ca="1">MIN(IF(B41=INDEX(BD,,2),INDEX(BD,,9),0))</f>
        <v>0</v>
      </c>
    </row>
    <row r="42" spans="2:12" x14ac:dyDescent="0.3">
      <c r="B42" s="29">
        <v>44218</v>
      </c>
      <c r="C42" s="4">
        <f t="array" aca="1" ref="C42" ca="1">SUM(IF(B42=INDEX(BD,,2),INDEX(BD,,9),""))</f>
        <v>0</v>
      </c>
      <c r="D42" s="17">
        <f t="array" aca="1" ref="D42" ca="1">COUNT(IF(B42=INDEX(BD,,2),INDEX(BD,,9),""))</f>
        <v>0</v>
      </c>
      <c r="E42" s="4">
        <f t="array" aca="1" ref="E42" ca="1">IFERROR(AVERAGE(IF(B42=INDEX(BD,,2),INDEX(BD,,9),"")),0)</f>
        <v>0</v>
      </c>
      <c r="F42" s="4">
        <f t="array" aca="1" ref="F42" ca="1">MAX(IF(B42=INDEX(BD,,2),INDEX(BD,,9),""))</f>
        <v>0</v>
      </c>
      <c r="G42" s="4">
        <f t="array" aca="1" ref="G42" ca="1">MIN(IF(B42=INDEX(BD,,2),INDEX(BD,,9),0))</f>
        <v>0</v>
      </c>
    </row>
    <row r="43" spans="2:12" x14ac:dyDescent="0.3">
      <c r="B43" s="29">
        <v>44219</v>
      </c>
      <c r="C43" s="4">
        <f t="array" aca="1" ref="C43" ca="1">SUM(IF(B43=INDEX(BD,,2),INDEX(BD,,9),""))</f>
        <v>0</v>
      </c>
      <c r="D43" s="17">
        <f t="array" aca="1" ref="D43" ca="1">COUNT(IF(B43=INDEX(BD,,2),INDEX(BD,,9),""))</f>
        <v>0</v>
      </c>
      <c r="E43" s="4">
        <f t="array" aca="1" ref="E43" ca="1">IFERROR(AVERAGE(IF(B43=INDEX(BD,,2),INDEX(BD,,9),"")),0)</f>
        <v>0</v>
      </c>
      <c r="F43" s="4">
        <f t="array" aca="1" ref="F43" ca="1">MAX(IF(B43=INDEX(BD,,2),INDEX(BD,,9),""))</f>
        <v>0</v>
      </c>
      <c r="G43" s="4">
        <f t="array" aca="1" ref="G43" ca="1">MIN(IF(B43=INDEX(BD,,2),INDEX(BD,,9),0))</f>
        <v>0</v>
      </c>
    </row>
    <row r="44" spans="2:12" x14ac:dyDescent="0.3">
      <c r="B44" s="29">
        <v>44220</v>
      </c>
      <c r="C44" s="4">
        <f t="array" aca="1" ref="C44" ca="1">SUM(IF(B44=INDEX(BD,,2),INDEX(BD,,9),""))</f>
        <v>0</v>
      </c>
      <c r="D44" s="17">
        <f t="array" aca="1" ref="D44" ca="1">COUNT(IF(B44=INDEX(BD,,2),INDEX(BD,,9),""))</f>
        <v>0</v>
      </c>
      <c r="E44" s="4">
        <f t="array" aca="1" ref="E44" ca="1">IFERROR(AVERAGE(IF(B44=INDEX(BD,,2),INDEX(BD,,9),"")),0)</f>
        <v>0</v>
      </c>
      <c r="F44" s="4">
        <f t="array" aca="1" ref="F44" ca="1">MAX(IF(B44=INDEX(BD,,2),INDEX(BD,,9),""))</f>
        <v>0</v>
      </c>
      <c r="G44" s="4">
        <f t="array" aca="1" ref="G44" ca="1">MIN(IF(B44=INDEX(BD,,2),INDEX(BD,,9),0))</f>
        <v>0</v>
      </c>
    </row>
    <row r="45" spans="2:12" x14ac:dyDescent="0.3">
      <c r="B45" s="29">
        <v>44221</v>
      </c>
      <c r="C45" s="4">
        <f t="array" aca="1" ref="C45" ca="1">SUM(IF(B45=INDEX(BD,,2),INDEX(BD,,9),""))</f>
        <v>0</v>
      </c>
      <c r="D45" s="17">
        <f t="array" aca="1" ref="D45" ca="1">COUNT(IF(B45=INDEX(BD,,2),INDEX(BD,,9),""))</f>
        <v>0</v>
      </c>
      <c r="E45" s="4">
        <f t="array" aca="1" ref="E45" ca="1">IFERROR(AVERAGE(IF(B45=INDEX(BD,,2),INDEX(BD,,9),"")),0)</f>
        <v>0</v>
      </c>
      <c r="F45" s="4">
        <f t="array" aca="1" ref="F45" ca="1">MAX(IF(B45=INDEX(BD,,2),INDEX(BD,,9),""))</f>
        <v>0</v>
      </c>
      <c r="G45" s="4">
        <f t="array" aca="1" ref="G45" ca="1">MIN(IF(B45=INDEX(BD,,2),INDEX(BD,,9),0))</f>
        <v>0</v>
      </c>
    </row>
    <row r="46" spans="2:12" x14ac:dyDescent="0.3">
      <c r="B46" s="29">
        <v>44222</v>
      </c>
      <c r="C46" s="4">
        <f t="array" aca="1" ref="C46" ca="1">SUM(IF(B46=INDEX(BD,,2),INDEX(BD,,9),""))</f>
        <v>0</v>
      </c>
      <c r="D46" s="17">
        <f t="array" aca="1" ref="D46" ca="1">COUNT(IF(B46=INDEX(BD,,2),INDEX(BD,,9),""))</f>
        <v>0</v>
      </c>
      <c r="E46" s="4">
        <f t="array" aca="1" ref="E46" ca="1">IFERROR(AVERAGE(IF(B46=INDEX(BD,,2),INDEX(BD,,9),"")),0)</f>
        <v>0</v>
      </c>
      <c r="F46" s="4">
        <f t="array" aca="1" ref="F46" ca="1">MAX(IF(B46=INDEX(BD,,2),INDEX(BD,,9),""))</f>
        <v>0</v>
      </c>
      <c r="G46" s="4">
        <f t="array" aca="1" ref="G46" ca="1">MIN(IF(B46=INDEX(BD,,2),INDEX(BD,,9),0))</f>
        <v>0</v>
      </c>
    </row>
    <row r="47" spans="2:12" x14ac:dyDescent="0.3">
      <c r="B47" s="29">
        <v>44223</v>
      </c>
      <c r="C47" s="4">
        <f t="array" aca="1" ref="C47" ca="1">SUM(IF(B47=INDEX(BD,,2),INDEX(BD,,9),""))</f>
        <v>0</v>
      </c>
      <c r="D47" s="17">
        <f t="array" aca="1" ref="D47" ca="1">COUNT(IF(B47=INDEX(BD,,2),INDEX(BD,,9),""))</f>
        <v>0</v>
      </c>
      <c r="E47" s="4">
        <f t="array" aca="1" ref="E47" ca="1">IFERROR(AVERAGE(IF(B47=INDEX(BD,,2),INDEX(BD,,9),"")),0)</f>
        <v>0</v>
      </c>
      <c r="F47" s="4">
        <f t="array" aca="1" ref="F47" ca="1">MAX(IF(B47=INDEX(BD,,2),INDEX(BD,,9),""))</f>
        <v>0</v>
      </c>
      <c r="G47" s="4">
        <f t="array" aca="1" ref="G47" ca="1">MIN(IF(B47=INDEX(BD,,2),INDEX(BD,,9),0))</f>
        <v>0</v>
      </c>
    </row>
    <row r="48" spans="2:12" x14ac:dyDescent="0.3">
      <c r="B48" s="29">
        <v>44224</v>
      </c>
      <c r="C48" s="4">
        <f t="array" aca="1" ref="C48" ca="1">SUM(IF(B48=INDEX(BD,,2),INDEX(BD,,9),""))</f>
        <v>0</v>
      </c>
      <c r="D48" s="17">
        <f t="array" aca="1" ref="D48" ca="1">COUNT(IF(B48=INDEX(BD,,2),INDEX(BD,,9),""))</f>
        <v>0</v>
      </c>
      <c r="E48" s="4">
        <f t="array" aca="1" ref="E48" ca="1">IFERROR(AVERAGE(IF(B48=INDEX(BD,,2),INDEX(BD,,9),"")),0)</f>
        <v>0</v>
      </c>
      <c r="F48" s="4">
        <f t="array" aca="1" ref="F48" ca="1">MAX(IF(B48=INDEX(BD,,2),INDEX(BD,,9),""))</f>
        <v>0</v>
      </c>
      <c r="G48" s="4">
        <f t="array" aca="1" ref="G48" ca="1">MIN(IF(B48=INDEX(BD,,2),INDEX(BD,,9),0))</f>
        <v>0</v>
      </c>
    </row>
    <row r="49" spans="2:7" x14ac:dyDescent="0.3">
      <c r="B49" s="29">
        <v>44225</v>
      </c>
      <c r="C49" s="4">
        <f t="array" aca="1" ref="C49" ca="1">SUM(IF(B49=INDEX(BD,,2),INDEX(BD,,9),""))</f>
        <v>0</v>
      </c>
      <c r="D49" s="17">
        <f t="array" aca="1" ref="D49" ca="1">COUNT(IF(B49=INDEX(BD,,2),INDEX(BD,,9),""))</f>
        <v>0</v>
      </c>
      <c r="E49" s="4">
        <f t="array" aca="1" ref="E49" ca="1">IFERROR(AVERAGE(IF(B49=INDEX(BD,,2),INDEX(BD,,9),"")),0)</f>
        <v>0</v>
      </c>
      <c r="F49" s="4">
        <f t="array" aca="1" ref="F49" ca="1">MAX(IF(B49=INDEX(BD,,2),INDEX(BD,,9),""))</f>
        <v>0</v>
      </c>
      <c r="G49" s="4">
        <f t="array" aca="1" ref="G49" ca="1">MIN(IF(B49=INDEX(BD,,2),INDEX(BD,,9),0))</f>
        <v>0</v>
      </c>
    </row>
    <row r="50" spans="2:7" x14ac:dyDescent="0.3">
      <c r="B50" s="29">
        <v>44226</v>
      </c>
      <c r="C50" s="4">
        <f t="array" aca="1" ref="C50" ca="1">SUM(IF(B50=INDEX(BD,,2),INDEX(BD,,9),""))</f>
        <v>0</v>
      </c>
      <c r="D50" s="17">
        <f t="array" aca="1" ref="D50" ca="1">COUNT(IF(B50=INDEX(BD,,2),INDEX(BD,,9),""))</f>
        <v>0</v>
      </c>
      <c r="E50" s="4">
        <f t="array" aca="1" ref="E50" ca="1">IFERROR(AVERAGE(IF(B50=INDEX(BD,,2),INDEX(BD,,9),"")),0)</f>
        <v>0</v>
      </c>
      <c r="F50" s="4">
        <f t="array" aca="1" ref="F50" ca="1">MAX(IF(B50=INDEX(BD,,2),INDEX(BD,,9),""))</f>
        <v>0</v>
      </c>
      <c r="G50" s="4">
        <f t="array" aca="1" ref="G50" ca="1">MIN(IF(B50=INDEX(BD,,2),INDEX(BD,,9),0))</f>
        <v>0</v>
      </c>
    </row>
    <row r="51" spans="2:7" x14ac:dyDescent="0.3">
      <c r="B51" s="29">
        <v>44227</v>
      </c>
      <c r="C51" s="4">
        <f t="array" aca="1" ref="C51" ca="1">SUM(IF(B51=INDEX(BD,,2),INDEX(BD,,9),""))</f>
        <v>0</v>
      </c>
      <c r="D51" s="17">
        <f t="array" aca="1" ref="D51" ca="1">COUNT(IF(B51=INDEX(BD,,2),INDEX(BD,,9),""))</f>
        <v>0</v>
      </c>
      <c r="E51" s="4">
        <f t="array" aca="1" ref="E51" ca="1">IFERROR(AVERAGE(IF(B51=INDEX(BD,,2),INDEX(BD,,9),"")),0)</f>
        <v>0</v>
      </c>
      <c r="F51" s="4">
        <f t="array" aca="1" ref="F51" ca="1">MAX(IF(B51=INDEX(BD,,2),INDEX(BD,,9),""))</f>
        <v>0</v>
      </c>
      <c r="G51" s="4">
        <f t="array" aca="1" ref="G51" ca="1">MIN(IF(B51=INDEX(BD,,2),INDEX(BD,,9),0))</f>
        <v>0</v>
      </c>
    </row>
    <row r="52" spans="2:7" x14ac:dyDescent="0.3">
      <c r="B52" s="29">
        <v>44228</v>
      </c>
      <c r="C52" s="4">
        <f t="array" aca="1" ref="C52" ca="1">SUM(IF(B52=INDEX(BD,,2),INDEX(BD,,9),""))</f>
        <v>0</v>
      </c>
      <c r="D52" s="17">
        <f t="array" aca="1" ref="D52" ca="1">COUNT(IF(B52=INDEX(BD,,2),INDEX(BD,,9),""))</f>
        <v>0</v>
      </c>
      <c r="E52" s="4">
        <f t="array" aca="1" ref="E52" ca="1">IFERROR(AVERAGE(IF(B52=INDEX(BD,,2),INDEX(BD,,9),"")),0)</f>
        <v>0</v>
      </c>
      <c r="F52" s="4">
        <f t="array" aca="1" ref="F52" ca="1">MAX(IF(B52=INDEX(BD,,2),INDEX(BD,,9),""))</f>
        <v>0</v>
      </c>
      <c r="G52" s="4">
        <f t="array" aca="1" ref="G52" ca="1">MIN(IF(B52=INDEX(BD,,2),INDEX(BD,,9),0))</f>
        <v>0</v>
      </c>
    </row>
    <row r="53" spans="2:7" x14ac:dyDescent="0.3">
      <c r="B53" s="29">
        <v>44229</v>
      </c>
      <c r="C53" s="4">
        <f t="array" aca="1" ref="C53" ca="1">SUM(IF(B53=INDEX(BD,,2),INDEX(BD,,9),""))</f>
        <v>0</v>
      </c>
      <c r="D53" s="17">
        <f t="array" aca="1" ref="D53" ca="1">COUNT(IF(B53=INDEX(BD,,2),INDEX(BD,,9),""))</f>
        <v>0</v>
      </c>
      <c r="E53" s="4">
        <f t="array" aca="1" ref="E53" ca="1">IFERROR(AVERAGE(IF(B53=INDEX(BD,,2),INDEX(BD,,9),"")),0)</f>
        <v>0</v>
      </c>
      <c r="F53" s="4">
        <f t="array" aca="1" ref="F53" ca="1">MAX(IF(B53=INDEX(BD,,2),INDEX(BD,,9),""))</f>
        <v>0</v>
      </c>
      <c r="G53" s="4">
        <f t="array" aca="1" ref="G53" ca="1">MIN(IF(B53=INDEX(BD,,2),INDEX(BD,,9),0))</f>
        <v>0</v>
      </c>
    </row>
    <row r="54" spans="2:7" x14ac:dyDescent="0.3">
      <c r="B54" s="29">
        <v>44230</v>
      </c>
      <c r="C54" s="4">
        <f t="array" aca="1" ref="C54" ca="1">SUM(IF(B54=INDEX(BD,,2),INDEX(BD,,9),""))</f>
        <v>0</v>
      </c>
      <c r="D54" s="17">
        <f t="array" aca="1" ref="D54" ca="1">COUNT(IF(B54=INDEX(BD,,2),INDEX(BD,,9),""))</f>
        <v>0</v>
      </c>
      <c r="E54" s="4">
        <f t="array" aca="1" ref="E54" ca="1">IFERROR(AVERAGE(IF(B54=INDEX(BD,,2),INDEX(BD,,9),"")),0)</f>
        <v>0</v>
      </c>
      <c r="F54" s="4">
        <f t="array" aca="1" ref="F54" ca="1">MAX(IF(B54=INDEX(BD,,2),INDEX(BD,,9),""))</f>
        <v>0</v>
      </c>
      <c r="G54" s="4">
        <f t="array" aca="1" ref="G54" ca="1">MIN(IF(B54=INDEX(BD,,2),INDEX(BD,,9),0))</f>
        <v>0</v>
      </c>
    </row>
    <row r="55" spans="2:7" x14ac:dyDescent="0.3">
      <c r="B55" s="29">
        <v>44231</v>
      </c>
      <c r="C55" s="4">
        <f t="array" aca="1" ref="C55" ca="1">SUM(IF(B55=INDEX(BD,,2),INDEX(BD,,9),""))</f>
        <v>0</v>
      </c>
      <c r="D55" s="17">
        <f t="array" aca="1" ref="D55" ca="1">COUNT(IF(B55=INDEX(BD,,2),INDEX(BD,,9),""))</f>
        <v>0</v>
      </c>
      <c r="E55" s="4">
        <f t="array" aca="1" ref="E55" ca="1">IFERROR(AVERAGE(IF(B55=INDEX(BD,,2),INDEX(BD,,9),"")),0)</f>
        <v>0</v>
      </c>
      <c r="F55" s="4">
        <f t="array" aca="1" ref="F55" ca="1">MAX(IF(B55=INDEX(BD,,2),INDEX(BD,,9),""))</f>
        <v>0</v>
      </c>
      <c r="G55" s="4">
        <f t="array" aca="1" ref="G55" ca="1">MIN(IF(B55=INDEX(BD,,2),INDEX(BD,,9),0))</f>
        <v>0</v>
      </c>
    </row>
    <row r="56" spans="2:7" x14ac:dyDescent="0.3">
      <c r="B56" s="29">
        <v>44232</v>
      </c>
      <c r="C56" s="4">
        <f t="array" aca="1" ref="C56" ca="1">SUM(IF(B56=INDEX(BD,,2),INDEX(BD,,9),""))</f>
        <v>0</v>
      </c>
      <c r="D56" s="17">
        <f t="array" aca="1" ref="D56" ca="1">COUNT(IF(B56=INDEX(BD,,2),INDEX(BD,,9),""))</f>
        <v>0</v>
      </c>
      <c r="E56" s="4">
        <f t="array" aca="1" ref="E56" ca="1">IFERROR(AVERAGE(IF(B56=INDEX(BD,,2),INDEX(BD,,9),"")),0)</f>
        <v>0</v>
      </c>
      <c r="F56" s="4">
        <f t="array" aca="1" ref="F56" ca="1">MAX(IF(B56=INDEX(BD,,2),INDEX(BD,,9),""))</f>
        <v>0</v>
      </c>
      <c r="G56" s="4">
        <f t="array" aca="1" ref="G56" ca="1">MIN(IF(B56=INDEX(BD,,2),INDEX(BD,,9),0))</f>
        <v>0</v>
      </c>
    </row>
    <row r="57" spans="2:7" x14ac:dyDescent="0.3">
      <c r="B57" s="29">
        <v>44233</v>
      </c>
      <c r="C57" s="4">
        <f t="array" aca="1" ref="C57" ca="1">SUM(IF(B57=INDEX(BD,,2),INDEX(BD,,9),""))</f>
        <v>0</v>
      </c>
      <c r="D57" s="17">
        <f t="array" aca="1" ref="D57" ca="1">COUNT(IF(B57=INDEX(BD,,2),INDEX(BD,,9),""))</f>
        <v>0</v>
      </c>
      <c r="E57" s="4">
        <f t="array" aca="1" ref="E57" ca="1">IFERROR(AVERAGE(IF(B57=INDEX(BD,,2),INDEX(BD,,9),"")),0)</f>
        <v>0</v>
      </c>
      <c r="F57" s="4">
        <f t="array" aca="1" ref="F57" ca="1">MAX(IF(B57=INDEX(BD,,2),INDEX(BD,,9),""))</f>
        <v>0</v>
      </c>
      <c r="G57" s="4">
        <f t="array" aca="1" ref="G57" ca="1">MIN(IF(B57=INDEX(BD,,2),INDEX(BD,,9),0))</f>
        <v>0</v>
      </c>
    </row>
    <row r="58" spans="2:7" x14ac:dyDescent="0.3">
      <c r="B58" s="29">
        <v>44234</v>
      </c>
      <c r="C58" s="4">
        <f t="array" aca="1" ref="C58" ca="1">SUM(IF(B58=INDEX(BD,,2),INDEX(BD,,9),""))</f>
        <v>0</v>
      </c>
      <c r="D58" s="17">
        <f t="array" aca="1" ref="D58" ca="1">COUNT(IF(B58=INDEX(BD,,2),INDEX(BD,,9),""))</f>
        <v>0</v>
      </c>
      <c r="E58" s="4">
        <f t="array" aca="1" ref="E58" ca="1">IFERROR(AVERAGE(IF(B58=INDEX(BD,,2),INDEX(BD,,9),"")),0)</f>
        <v>0</v>
      </c>
      <c r="F58" s="4">
        <f t="array" aca="1" ref="F58" ca="1">MAX(IF(B58=INDEX(BD,,2),INDEX(BD,,9),""))</f>
        <v>0</v>
      </c>
      <c r="G58" s="4">
        <f t="array" aca="1" ref="G58" ca="1">MIN(IF(B58=INDEX(BD,,2),INDEX(BD,,9),0))</f>
        <v>0</v>
      </c>
    </row>
    <row r="59" spans="2:7" x14ac:dyDescent="0.3">
      <c r="B59" s="29">
        <v>44235</v>
      </c>
      <c r="C59" s="4">
        <f t="array" aca="1" ref="C59" ca="1">SUM(IF(B59=INDEX(BD,,2),INDEX(BD,,9),""))</f>
        <v>0</v>
      </c>
      <c r="D59" s="17">
        <f t="array" aca="1" ref="D59" ca="1">COUNT(IF(B59=INDEX(BD,,2),INDEX(BD,,9),""))</f>
        <v>0</v>
      </c>
      <c r="E59" s="4">
        <f t="array" aca="1" ref="E59" ca="1">IFERROR(AVERAGE(IF(B59=INDEX(BD,,2),INDEX(BD,,9),"")),0)</f>
        <v>0</v>
      </c>
      <c r="F59" s="4">
        <f t="array" aca="1" ref="F59" ca="1">MAX(IF(B59=INDEX(BD,,2),INDEX(BD,,9),""))</f>
        <v>0</v>
      </c>
      <c r="G59" s="4">
        <f t="array" aca="1" ref="G59" ca="1">MIN(IF(B59=INDEX(BD,,2),INDEX(BD,,9),0))</f>
        <v>0</v>
      </c>
    </row>
    <row r="60" spans="2:7" x14ac:dyDescent="0.3">
      <c r="B60" s="29">
        <v>44236</v>
      </c>
      <c r="C60" s="4">
        <f t="array" aca="1" ref="C60" ca="1">SUM(IF(B60=INDEX(BD,,2),INDEX(BD,,9),""))</f>
        <v>0</v>
      </c>
      <c r="D60" s="17">
        <f t="array" aca="1" ref="D60" ca="1">COUNT(IF(B60=INDEX(BD,,2),INDEX(BD,,9),""))</f>
        <v>0</v>
      </c>
      <c r="E60" s="4">
        <f t="array" aca="1" ref="E60" ca="1">IFERROR(AVERAGE(IF(B60=INDEX(BD,,2),INDEX(BD,,9),"")),0)</f>
        <v>0</v>
      </c>
      <c r="F60" s="4">
        <f t="array" aca="1" ref="F60" ca="1">MAX(IF(B60=INDEX(BD,,2),INDEX(BD,,9),""))</f>
        <v>0</v>
      </c>
      <c r="G60" s="4">
        <f t="array" aca="1" ref="G60" ca="1">MIN(IF(B60=INDEX(BD,,2),INDEX(BD,,9),0))</f>
        <v>0</v>
      </c>
    </row>
    <row r="61" spans="2:7" x14ac:dyDescent="0.3">
      <c r="B61" s="29">
        <v>44237</v>
      </c>
      <c r="C61" s="4">
        <f t="array" aca="1" ref="C61" ca="1">SUM(IF(B61=INDEX(BD,,2),INDEX(BD,,9),""))</f>
        <v>0</v>
      </c>
      <c r="D61" s="17">
        <f t="array" aca="1" ref="D61" ca="1">COUNT(IF(B61=INDEX(BD,,2),INDEX(BD,,9),""))</f>
        <v>0</v>
      </c>
      <c r="E61" s="4">
        <f t="array" aca="1" ref="E61" ca="1">IFERROR(AVERAGE(IF(B61=INDEX(BD,,2),INDEX(BD,,9),"")),0)</f>
        <v>0</v>
      </c>
      <c r="F61" s="4">
        <f t="array" aca="1" ref="F61" ca="1">MAX(IF(B61=INDEX(BD,,2),INDEX(BD,,9),""))</f>
        <v>0</v>
      </c>
      <c r="G61" s="4">
        <f t="array" aca="1" ref="G61" ca="1">MIN(IF(B61=INDEX(BD,,2),INDEX(BD,,9),0))</f>
        <v>0</v>
      </c>
    </row>
    <row r="62" spans="2:7" x14ac:dyDescent="0.3">
      <c r="B62" s="29">
        <v>44238</v>
      </c>
      <c r="C62" s="4">
        <f t="array" aca="1" ref="C62" ca="1">SUM(IF(B62=INDEX(BD,,2),INDEX(BD,,9),""))</f>
        <v>0</v>
      </c>
      <c r="D62" s="17">
        <f t="array" aca="1" ref="D62" ca="1">COUNT(IF(B62=INDEX(BD,,2),INDEX(BD,,9),""))</f>
        <v>0</v>
      </c>
      <c r="E62" s="4">
        <f t="array" aca="1" ref="E62" ca="1">IFERROR(AVERAGE(IF(B62=INDEX(BD,,2),INDEX(BD,,9),"")),0)</f>
        <v>0</v>
      </c>
      <c r="F62" s="4">
        <f t="array" aca="1" ref="F62" ca="1">MAX(IF(B62=INDEX(BD,,2),INDEX(BD,,9),""))</f>
        <v>0</v>
      </c>
      <c r="G62" s="4">
        <f t="array" aca="1" ref="G62" ca="1">MIN(IF(B62=INDEX(BD,,2),INDEX(BD,,9),0))</f>
        <v>0</v>
      </c>
    </row>
    <row r="63" spans="2:7" x14ac:dyDescent="0.3">
      <c r="B63" s="29">
        <v>44239</v>
      </c>
      <c r="C63" s="4">
        <f t="array" aca="1" ref="C63" ca="1">SUM(IF(B63=INDEX(BD,,2),INDEX(BD,,9),""))</f>
        <v>0</v>
      </c>
      <c r="D63" s="17">
        <f t="array" aca="1" ref="D63" ca="1">COUNT(IF(B63=INDEX(BD,,2),INDEX(BD,,9),""))</f>
        <v>0</v>
      </c>
      <c r="E63" s="4">
        <f t="array" aca="1" ref="E63" ca="1">IFERROR(AVERAGE(IF(B63=INDEX(BD,,2),INDEX(BD,,9),"")),0)</f>
        <v>0</v>
      </c>
      <c r="F63" s="4">
        <f t="array" aca="1" ref="F63" ca="1">MAX(IF(B63=INDEX(BD,,2),INDEX(BD,,9),""))</f>
        <v>0</v>
      </c>
      <c r="G63" s="4">
        <f t="array" aca="1" ref="G63" ca="1">MIN(IF(B63=INDEX(BD,,2),INDEX(BD,,9),0))</f>
        <v>0</v>
      </c>
    </row>
    <row r="64" spans="2:7" x14ac:dyDescent="0.3">
      <c r="B64" s="29">
        <v>44240</v>
      </c>
      <c r="C64" s="4">
        <f t="array" aca="1" ref="C64" ca="1">SUM(IF(B64=INDEX(BD,,2),INDEX(BD,,9),""))</f>
        <v>0</v>
      </c>
      <c r="D64" s="17">
        <f t="array" aca="1" ref="D64" ca="1">COUNT(IF(B64=INDEX(BD,,2),INDEX(BD,,9),""))</f>
        <v>0</v>
      </c>
      <c r="E64" s="4">
        <f t="array" aca="1" ref="E64" ca="1">IFERROR(AVERAGE(IF(B64=INDEX(BD,,2),INDEX(BD,,9),"")),0)</f>
        <v>0</v>
      </c>
      <c r="F64" s="4">
        <f t="array" aca="1" ref="F64" ca="1">MAX(IF(B64=INDEX(BD,,2),INDEX(BD,,9),""))</f>
        <v>0</v>
      </c>
      <c r="G64" s="4">
        <f t="array" aca="1" ref="G64" ca="1">MIN(IF(B64=INDEX(BD,,2),INDEX(BD,,9),0))</f>
        <v>0</v>
      </c>
    </row>
    <row r="65" spans="2:7" x14ac:dyDescent="0.3">
      <c r="B65" s="29">
        <v>44241</v>
      </c>
      <c r="C65" s="4">
        <f t="array" aca="1" ref="C65" ca="1">SUM(IF(B65=INDEX(BD,,2),INDEX(BD,,9),""))</f>
        <v>0</v>
      </c>
      <c r="D65" s="17">
        <f t="array" aca="1" ref="D65" ca="1">COUNT(IF(B65=INDEX(BD,,2),INDEX(BD,,9),""))</f>
        <v>0</v>
      </c>
      <c r="E65" s="4">
        <f t="array" aca="1" ref="E65" ca="1">IFERROR(AVERAGE(IF(B65=INDEX(BD,,2),INDEX(BD,,9),"")),0)</f>
        <v>0</v>
      </c>
      <c r="F65" s="4">
        <f t="array" aca="1" ref="F65" ca="1">MAX(IF(B65=INDEX(BD,,2),INDEX(BD,,9),""))</f>
        <v>0</v>
      </c>
      <c r="G65" s="4">
        <f t="array" aca="1" ref="G65" ca="1">MIN(IF(B65=INDEX(BD,,2),INDEX(BD,,9),0))</f>
        <v>0</v>
      </c>
    </row>
    <row r="66" spans="2:7" x14ac:dyDescent="0.3">
      <c r="B66" s="29">
        <v>44242</v>
      </c>
      <c r="C66" s="4">
        <f t="array" aca="1" ref="C66" ca="1">SUM(IF(B66=INDEX(BD,,2),INDEX(BD,,9),""))</f>
        <v>0</v>
      </c>
      <c r="D66" s="17">
        <f t="array" aca="1" ref="D66" ca="1">COUNT(IF(B66=INDEX(BD,,2),INDEX(BD,,9),""))</f>
        <v>0</v>
      </c>
      <c r="E66" s="4">
        <f t="array" aca="1" ref="E66" ca="1">IFERROR(AVERAGE(IF(B66=INDEX(BD,,2),INDEX(BD,,9),"")),0)</f>
        <v>0</v>
      </c>
      <c r="F66" s="4">
        <f t="array" aca="1" ref="F66" ca="1">MAX(IF(B66=INDEX(BD,,2),INDEX(BD,,9),""))</f>
        <v>0</v>
      </c>
      <c r="G66" s="4">
        <f t="array" aca="1" ref="G66" ca="1">MIN(IF(B66=INDEX(BD,,2),INDEX(BD,,9),0))</f>
        <v>0</v>
      </c>
    </row>
    <row r="67" spans="2:7" x14ac:dyDescent="0.3">
      <c r="B67" s="29">
        <v>44243</v>
      </c>
      <c r="C67" s="4">
        <f t="array" aca="1" ref="C67" ca="1">SUM(IF(B67=INDEX(BD,,2),INDEX(BD,,9),""))</f>
        <v>0</v>
      </c>
      <c r="D67" s="17">
        <f t="array" aca="1" ref="D67" ca="1">COUNT(IF(B67=INDEX(BD,,2),INDEX(BD,,9),""))</f>
        <v>0</v>
      </c>
      <c r="E67" s="4">
        <f t="array" aca="1" ref="E67" ca="1">IFERROR(AVERAGE(IF(B67=INDEX(BD,,2),INDEX(BD,,9),"")),0)</f>
        <v>0</v>
      </c>
      <c r="F67" s="4">
        <f t="array" aca="1" ref="F67" ca="1">MAX(IF(B67=INDEX(BD,,2),INDEX(BD,,9),""))</f>
        <v>0</v>
      </c>
      <c r="G67" s="4">
        <f t="array" aca="1" ref="G67" ca="1">MIN(IF(B67=INDEX(BD,,2),INDEX(BD,,9),0))</f>
        <v>0</v>
      </c>
    </row>
    <row r="68" spans="2:7" x14ac:dyDescent="0.3">
      <c r="B68" s="29">
        <v>44244</v>
      </c>
      <c r="C68" s="4">
        <f t="array" aca="1" ref="C68" ca="1">SUM(IF(B68=INDEX(BD,,2),INDEX(BD,,9),""))</f>
        <v>0</v>
      </c>
      <c r="D68" s="17">
        <f t="array" aca="1" ref="D68" ca="1">COUNT(IF(B68=INDEX(BD,,2),INDEX(BD,,9),""))</f>
        <v>0</v>
      </c>
      <c r="E68" s="4">
        <f t="array" aca="1" ref="E68" ca="1">IFERROR(AVERAGE(IF(B68=INDEX(BD,,2),INDEX(BD,,9),"")),0)</f>
        <v>0</v>
      </c>
      <c r="F68" s="4">
        <f t="array" aca="1" ref="F68" ca="1">MAX(IF(B68=INDEX(BD,,2),INDEX(BD,,9),""))</f>
        <v>0</v>
      </c>
      <c r="G68" s="4">
        <f t="array" aca="1" ref="G68" ca="1">MIN(IF(B68=INDEX(BD,,2),INDEX(BD,,9),0))</f>
        <v>0</v>
      </c>
    </row>
    <row r="69" spans="2:7" x14ac:dyDescent="0.3">
      <c r="B69" s="29">
        <v>44245</v>
      </c>
      <c r="C69" s="4">
        <f t="array" aca="1" ref="C69" ca="1">SUM(IF(B69=INDEX(BD,,2),INDEX(BD,,9),""))</f>
        <v>0</v>
      </c>
      <c r="D69" s="17">
        <f t="array" aca="1" ref="D69" ca="1">COUNT(IF(B69=INDEX(BD,,2),INDEX(BD,,9),""))</f>
        <v>0</v>
      </c>
      <c r="E69" s="4">
        <f t="array" aca="1" ref="E69" ca="1">IFERROR(AVERAGE(IF(B69=INDEX(BD,,2),INDEX(BD,,9),"")),0)</f>
        <v>0</v>
      </c>
      <c r="F69" s="4">
        <f t="array" aca="1" ref="F69" ca="1">MAX(IF(B69=INDEX(BD,,2),INDEX(BD,,9),""))</f>
        <v>0</v>
      </c>
      <c r="G69" s="4">
        <f t="array" aca="1" ref="G69" ca="1">MIN(IF(B69=INDEX(BD,,2),INDEX(BD,,9),0))</f>
        <v>0</v>
      </c>
    </row>
    <row r="70" spans="2:7" x14ac:dyDescent="0.3">
      <c r="B70" s="29">
        <v>44246</v>
      </c>
      <c r="C70" s="4">
        <f t="array" aca="1" ref="C70" ca="1">SUM(IF(B70=INDEX(BD,,2),INDEX(BD,,9),""))</f>
        <v>0</v>
      </c>
      <c r="D70" s="17">
        <f t="array" aca="1" ref="D70" ca="1">COUNT(IF(B70=INDEX(BD,,2),INDEX(BD,,9),""))</f>
        <v>0</v>
      </c>
      <c r="E70" s="4">
        <f t="array" aca="1" ref="E70" ca="1">IFERROR(AVERAGE(IF(B70=INDEX(BD,,2),INDEX(BD,,9),"")),0)</f>
        <v>0</v>
      </c>
      <c r="F70" s="4">
        <f t="array" aca="1" ref="F70" ca="1">MAX(IF(B70=INDEX(BD,,2),INDEX(BD,,9),""))</f>
        <v>0</v>
      </c>
      <c r="G70" s="4">
        <f t="array" aca="1" ref="G70" ca="1">MIN(IF(B70=INDEX(BD,,2),INDEX(BD,,9),0))</f>
        <v>0</v>
      </c>
    </row>
    <row r="71" spans="2:7" x14ac:dyDescent="0.3">
      <c r="B71" s="29">
        <v>44247</v>
      </c>
      <c r="C71" s="4">
        <f t="array" aca="1" ref="C71" ca="1">SUM(IF(B71=INDEX(BD,,2),INDEX(BD,,9),""))</f>
        <v>0</v>
      </c>
      <c r="D71" s="17">
        <f t="array" aca="1" ref="D71" ca="1">COUNT(IF(B71=INDEX(BD,,2),INDEX(BD,,9),""))</f>
        <v>0</v>
      </c>
      <c r="E71" s="4">
        <f t="array" aca="1" ref="E71" ca="1">IFERROR(AVERAGE(IF(B71=INDEX(BD,,2),INDEX(BD,,9),"")),0)</f>
        <v>0</v>
      </c>
      <c r="F71" s="4">
        <f t="array" aca="1" ref="F71" ca="1">MAX(IF(B71=INDEX(BD,,2),INDEX(BD,,9),""))</f>
        <v>0</v>
      </c>
      <c r="G71" s="4">
        <f t="array" aca="1" ref="G71" ca="1">MIN(IF(B71=INDEX(BD,,2),INDEX(BD,,9),0))</f>
        <v>0</v>
      </c>
    </row>
    <row r="72" spans="2:7" x14ac:dyDescent="0.3">
      <c r="B72" s="29">
        <v>44248</v>
      </c>
      <c r="C72" s="4">
        <f t="array" aca="1" ref="C72" ca="1">SUM(IF(B72=INDEX(BD,,2),INDEX(BD,,9),""))</f>
        <v>0</v>
      </c>
      <c r="D72" s="17">
        <f t="array" aca="1" ref="D72" ca="1">COUNT(IF(B72=INDEX(BD,,2),INDEX(BD,,9),""))</f>
        <v>0</v>
      </c>
      <c r="E72" s="4">
        <f t="array" aca="1" ref="E72" ca="1">IFERROR(AVERAGE(IF(B72=INDEX(BD,,2),INDEX(BD,,9),"")),0)</f>
        <v>0</v>
      </c>
      <c r="F72" s="4">
        <f t="array" aca="1" ref="F72" ca="1">MAX(IF(B72=INDEX(BD,,2),INDEX(BD,,9),""))</f>
        <v>0</v>
      </c>
      <c r="G72" s="4">
        <f t="array" aca="1" ref="G72" ca="1">MIN(IF(B72=INDEX(BD,,2),INDEX(BD,,9),0))</f>
        <v>0</v>
      </c>
    </row>
    <row r="73" spans="2:7" x14ac:dyDescent="0.3">
      <c r="B73" s="29">
        <v>44249</v>
      </c>
      <c r="C73" s="4">
        <f t="array" aca="1" ref="C73" ca="1">SUM(IF(B73=INDEX(BD,,2),INDEX(BD,,9),""))</f>
        <v>0</v>
      </c>
      <c r="D73" s="17">
        <f t="array" aca="1" ref="D73" ca="1">COUNT(IF(B73=INDEX(BD,,2),INDEX(BD,,9),""))</f>
        <v>0</v>
      </c>
      <c r="E73" s="4">
        <f t="array" aca="1" ref="E73" ca="1">IFERROR(AVERAGE(IF(B73=INDEX(BD,,2),INDEX(BD,,9),"")),0)</f>
        <v>0</v>
      </c>
      <c r="F73" s="4">
        <f t="array" aca="1" ref="F73" ca="1">MAX(IF(B73=INDEX(BD,,2),INDEX(BD,,9),""))</f>
        <v>0</v>
      </c>
      <c r="G73" s="4">
        <f t="array" aca="1" ref="G73" ca="1">MIN(IF(B73=INDEX(BD,,2),INDEX(BD,,9),0))</f>
        <v>0</v>
      </c>
    </row>
    <row r="74" spans="2:7" x14ac:dyDescent="0.3">
      <c r="B74" s="29">
        <v>44250</v>
      </c>
      <c r="C74" s="4">
        <f t="array" aca="1" ref="C74" ca="1">SUM(IF(B74=INDEX(BD,,2),INDEX(BD,,9),""))</f>
        <v>0</v>
      </c>
      <c r="D74" s="17">
        <f t="array" aca="1" ref="D74" ca="1">COUNT(IF(B74=INDEX(BD,,2),INDEX(BD,,9),""))</f>
        <v>0</v>
      </c>
      <c r="E74" s="4">
        <f t="array" aca="1" ref="E74" ca="1">IFERROR(AVERAGE(IF(B74=INDEX(BD,,2),INDEX(BD,,9),"")),0)</f>
        <v>0</v>
      </c>
      <c r="F74" s="4">
        <f t="array" aca="1" ref="F74" ca="1">MAX(IF(B74=INDEX(BD,,2),INDEX(BD,,9),""))</f>
        <v>0</v>
      </c>
      <c r="G74" s="4">
        <f t="array" aca="1" ref="G74" ca="1">MIN(IF(B74=INDEX(BD,,2),INDEX(BD,,9),0))</f>
        <v>0</v>
      </c>
    </row>
    <row r="75" spans="2:7" x14ac:dyDescent="0.3">
      <c r="B75" s="29">
        <v>44251</v>
      </c>
      <c r="C75" s="4">
        <f t="array" aca="1" ref="C75" ca="1">SUM(IF(B75=INDEX(BD,,2),INDEX(BD,,9),""))</f>
        <v>0</v>
      </c>
      <c r="D75" s="17">
        <f t="array" aca="1" ref="D75" ca="1">COUNT(IF(B75=INDEX(BD,,2),INDEX(BD,,9),""))</f>
        <v>0</v>
      </c>
      <c r="E75" s="4">
        <f t="array" aca="1" ref="E75" ca="1">IFERROR(AVERAGE(IF(B75=INDEX(BD,,2),INDEX(BD,,9),"")),0)</f>
        <v>0</v>
      </c>
      <c r="F75" s="4">
        <f t="array" aca="1" ref="F75" ca="1">MAX(IF(B75=INDEX(BD,,2),INDEX(BD,,9),""))</f>
        <v>0</v>
      </c>
      <c r="G75" s="4">
        <f t="array" aca="1" ref="G75" ca="1">MIN(IF(B75=INDEX(BD,,2),INDEX(BD,,9),0))</f>
        <v>0</v>
      </c>
    </row>
    <row r="76" spans="2:7" x14ac:dyDescent="0.3">
      <c r="B76" s="29">
        <v>44252</v>
      </c>
      <c r="C76" s="4">
        <f t="array" aca="1" ref="C76" ca="1">SUM(IF(B76=INDEX(BD,,2),INDEX(BD,,9),""))</f>
        <v>0</v>
      </c>
      <c r="D76" s="17">
        <f t="array" aca="1" ref="D76" ca="1">COUNT(IF(B76=INDEX(BD,,2),INDEX(BD,,9),""))</f>
        <v>0</v>
      </c>
      <c r="E76" s="4">
        <f t="array" aca="1" ref="E76" ca="1">IFERROR(AVERAGE(IF(B76=INDEX(BD,,2),INDEX(BD,,9),"")),0)</f>
        <v>0</v>
      </c>
      <c r="F76" s="4">
        <f t="array" aca="1" ref="F76" ca="1">MAX(IF(B76=INDEX(BD,,2),INDEX(BD,,9),""))</f>
        <v>0</v>
      </c>
      <c r="G76" s="4">
        <f t="array" aca="1" ref="G76" ca="1">MIN(IF(B76=INDEX(BD,,2),INDEX(BD,,9),0))</f>
        <v>0</v>
      </c>
    </row>
    <row r="77" spans="2:7" x14ac:dyDescent="0.3">
      <c r="B77" s="29">
        <v>44253</v>
      </c>
      <c r="C77" s="4">
        <f t="array" aca="1" ref="C77" ca="1">SUM(IF(B77=INDEX(BD,,2),INDEX(BD,,9),""))</f>
        <v>0</v>
      </c>
      <c r="D77" s="17">
        <f t="array" aca="1" ref="D77" ca="1">COUNT(IF(B77=INDEX(BD,,2),INDEX(BD,,9),""))</f>
        <v>0</v>
      </c>
      <c r="E77" s="4">
        <f t="array" aca="1" ref="E77" ca="1">IFERROR(AVERAGE(IF(B77=INDEX(BD,,2),INDEX(BD,,9),"")),0)</f>
        <v>0</v>
      </c>
      <c r="F77" s="4">
        <f t="array" aca="1" ref="F77" ca="1">MAX(IF(B77=INDEX(BD,,2),INDEX(BD,,9),""))</f>
        <v>0</v>
      </c>
      <c r="G77" s="4">
        <f t="array" aca="1" ref="G77" ca="1">MIN(IF(B77=INDEX(BD,,2),INDEX(BD,,9),0))</f>
        <v>0</v>
      </c>
    </row>
    <row r="78" spans="2:7" x14ac:dyDescent="0.3">
      <c r="B78" s="29">
        <v>44254</v>
      </c>
      <c r="C78" s="4">
        <f t="array" aca="1" ref="C78" ca="1">SUM(IF(B78=INDEX(BD,,2),INDEX(BD,,9),""))</f>
        <v>0</v>
      </c>
      <c r="D78" s="17">
        <f t="array" aca="1" ref="D78" ca="1">COUNT(IF(B78=INDEX(BD,,2),INDEX(BD,,9),""))</f>
        <v>0</v>
      </c>
      <c r="E78" s="4">
        <f t="array" aca="1" ref="E78" ca="1">IFERROR(AVERAGE(IF(B78=INDEX(BD,,2),INDEX(BD,,9),"")),0)</f>
        <v>0</v>
      </c>
      <c r="F78" s="4">
        <f t="array" aca="1" ref="F78" ca="1">MAX(IF(B78=INDEX(BD,,2),INDEX(BD,,9),""))</f>
        <v>0</v>
      </c>
      <c r="G78" s="4">
        <f t="array" aca="1" ref="G78" ca="1">MIN(IF(B78=INDEX(BD,,2),INDEX(BD,,9),0))</f>
        <v>0</v>
      </c>
    </row>
    <row r="79" spans="2:7" x14ac:dyDescent="0.3">
      <c r="B79" s="29">
        <v>44255</v>
      </c>
      <c r="C79" s="4">
        <f t="array" aca="1" ref="C79" ca="1">SUM(IF(B79=INDEX(BD,,2),INDEX(BD,,9),""))</f>
        <v>0</v>
      </c>
      <c r="D79" s="17">
        <f t="array" aca="1" ref="D79" ca="1">COUNT(IF(B79=INDEX(BD,,2),INDEX(BD,,9),""))</f>
        <v>0</v>
      </c>
      <c r="E79" s="4">
        <f t="array" aca="1" ref="E79" ca="1">IFERROR(AVERAGE(IF(B79=INDEX(BD,,2),INDEX(BD,,9),"")),0)</f>
        <v>0</v>
      </c>
      <c r="F79" s="4">
        <f t="array" aca="1" ref="F79" ca="1">MAX(IF(B79=INDEX(BD,,2),INDEX(BD,,9),""))</f>
        <v>0</v>
      </c>
      <c r="G79" s="4">
        <f t="array" aca="1" ref="G79" ca="1">MIN(IF(B79=INDEX(BD,,2),INDEX(BD,,9),0))</f>
        <v>0</v>
      </c>
    </row>
    <row r="80" spans="2:7" x14ac:dyDescent="0.3">
      <c r="B80" s="29">
        <v>44256</v>
      </c>
      <c r="C80" s="4">
        <f t="array" aca="1" ref="C80" ca="1">SUM(IF(B80=INDEX(BD,,2),INDEX(BD,,9),""))</f>
        <v>0</v>
      </c>
      <c r="D80" s="17">
        <f t="array" aca="1" ref="D80" ca="1">COUNT(IF(B80=INDEX(BD,,2),INDEX(BD,,9),""))</f>
        <v>0</v>
      </c>
      <c r="E80" s="4">
        <f t="array" aca="1" ref="E80" ca="1">IFERROR(AVERAGE(IF(B80=INDEX(BD,,2),INDEX(BD,,9),"")),0)</f>
        <v>0</v>
      </c>
      <c r="F80" s="4">
        <f t="array" aca="1" ref="F80" ca="1">MAX(IF(B80=INDEX(BD,,2),INDEX(BD,,9),""))</f>
        <v>0</v>
      </c>
      <c r="G80" s="4">
        <f t="array" aca="1" ref="G80" ca="1">MIN(IF(B80=INDEX(BD,,2),INDEX(BD,,9),0))</f>
        <v>0</v>
      </c>
    </row>
    <row r="81" spans="2:7" x14ac:dyDescent="0.3">
      <c r="B81" s="29">
        <v>44257</v>
      </c>
      <c r="C81" s="4">
        <f t="array" aca="1" ref="C81" ca="1">SUM(IF(B81=INDEX(BD,,2),INDEX(BD,,9),""))</f>
        <v>0</v>
      </c>
      <c r="D81" s="17">
        <f t="array" aca="1" ref="D81" ca="1">COUNT(IF(B81=INDEX(BD,,2),INDEX(BD,,9),""))</f>
        <v>0</v>
      </c>
      <c r="E81" s="4">
        <f t="array" aca="1" ref="E81" ca="1">IFERROR(AVERAGE(IF(B81=INDEX(BD,,2),INDEX(BD,,9),"")),0)</f>
        <v>0</v>
      </c>
      <c r="F81" s="4">
        <f t="array" aca="1" ref="F81" ca="1">MAX(IF(B81=INDEX(BD,,2),INDEX(BD,,9),""))</f>
        <v>0</v>
      </c>
      <c r="G81" s="4">
        <f t="array" aca="1" ref="G81" ca="1">MIN(IF(B81=INDEX(BD,,2),INDEX(BD,,9),0))</f>
        <v>0</v>
      </c>
    </row>
    <row r="82" spans="2:7" x14ac:dyDescent="0.3">
      <c r="B82" s="29">
        <v>44258</v>
      </c>
      <c r="C82" s="4">
        <f t="array" aca="1" ref="C82" ca="1">SUM(IF(B82=INDEX(BD,,2),INDEX(BD,,9),""))</f>
        <v>0</v>
      </c>
      <c r="D82" s="17">
        <f t="array" aca="1" ref="D82" ca="1">COUNT(IF(B82=INDEX(BD,,2),INDEX(BD,,9),""))</f>
        <v>0</v>
      </c>
      <c r="E82" s="4">
        <f t="array" aca="1" ref="E82" ca="1">IFERROR(AVERAGE(IF(B82=INDEX(BD,,2),INDEX(BD,,9),"")),0)</f>
        <v>0</v>
      </c>
      <c r="F82" s="4">
        <f t="array" aca="1" ref="F82" ca="1">MAX(IF(B82=INDEX(BD,,2),INDEX(BD,,9),""))</f>
        <v>0</v>
      </c>
      <c r="G82" s="4">
        <f t="array" aca="1" ref="G82" ca="1">MIN(IF(B82=INDEX(BD,,2),INDEX(BD,,9),0))</f>
        <v>0</v>
      </c>
    </row>
    <row r="83" spans="2:7" x14ac:dyDescent="0.3">
      <c r="B83" s="29">
        <v>44259</v>
      </c>
      <c r="C83" s="4">
        <f t="array" aca="1" ref="C83" ca="1">SUM(IF(B83=INDEX(BD,,2),INDEX(BD,,9),""))</f>
        <v>0</v>
      </c>
      <c r="D83" s="17">
        <f t="array" aca="1" ref="D83" ca="1">COUNT(IF(B83=INDEX(BD,,2),INDEX(BD,,9),""))</f>
        <v>0</v>
      </c>
      <c r="E83" s="4">
        <f t="array" aca="1" ref="E83" ca="1">IFERROR(AVERAGE(IF(B83=INDEX(BD,,2),INDEX(BD,,9),"")),0)</f>
        <v>0</v>
      </c>
      <c r="F83" s="4">
        <f t="array" aca="1" ref="F83" ca="1">MAX(IF(B83=INDEX(BD,,2),INDEX(BD,,9),""))</f>
        <v>0</v>
      </c>
      <c r="G83" s="4">
        <f t="array" aca="1" ref="G83" ca="1">MIN(IF(B83=INDEX(BD,,2),INDEX(BD,,9),0))</f>
        <v>0</v>
      </c>
    </row>
    <row r="84" spans="2:7" x14ac:dyDescent="0.3">
      <c r="B84" s="29">
        <v>44260</v>
      </c>
      <c r="C84" s="4">
        <f t="array" aca="1" ref="C84" ca="1">SUM(IF(B84=INDEX(BD,,2),INDEX(BD,,9),""))</f>
        <v>0</v>
      </c>
      <c r="D84" s="17">
        <f t="array" aca="1" ref="D84" ca="1">COUNT(IF(B84=INDEX(BD,,2),INDEX(BD,,9),""))</f>
        <v>0</v>
      </c>
      <c r="E84" s="4">
        <f t="array" aca="1" ref="E84" ca="1">IFERROR(AVERAGE(IF(B84=INDEX(BD,,2),INDEX(BD,,9),"")),0)</f>
        <v>0</v>
      </c>
      <c r="F84" s="4">
        <f t="array" aca="1" ref="F84" ca="1">MAX(IF(B84=INDEX(BD,,2),INDEX(BD,,9),""))</f>
        <v>0</v>
      </c>
      <c r="G84" s="4">
        <f t="array" aca="1" ref="G84" ca="1">MIN(IF(B84=INDEX(BD,,2),INDEX(BD,,9),0))</f>
        <v>0</v>
      </c>
    </row>
    <row r="85" spans="2:7" x14ac:dyDescent="0.3">
      <c r="B85" s="29">
        <v>44261</v>
      </c>
      <c r="C85" s="4">
        <f t="array" aca="1" ref="C85" ca="1">SUM(IF(B85=INDEX(BD,,2),INDEX(BD,,9),""))</f>
        <v>0</v>
      </c>
      <c r="D85" s="17">
        <f t="array" aca="1" ref="D85" ca="1">COUNT(IF(B85=INDEX(BD,,2),INDEX(BD,,9),""))</f>
        <v>0</v>
      </c>
      <c r="E85" s="4">
        <f t="array" aca="1" ref="E85" ca="1">IFERROR(AVERAGE(IF(B85=INDEX(BD,,2),INDEX(BD,,9),"")),0)</f>
        <v>0</v>
      </c>
      <c r="F85" s="4">
        <f t="array" aca="1" ref="F85" ca="1">MAX(IF(B85=INDEX(BD,,2),INDEX(BD,,9),""))</f>
        <v>0</v>
      </c>
      <c r="G85" s="4">
        <f t="array" aca="1" ref="G85" ca="1">MIN(IF(B85=INDEX(BD,,2),INDEX(BD,,9),0))</f>
        <v>0</v>
      </c>
    </row>
    <row r="86" spans="2:7" x14ac:dyDescent="0.3">
      <c r="B86" s="29">
        <v>44262</v>
      </c>
      <c r="C86" s="4">
        <f t="array" aca="1" ref="C86" ca="1">SUM(IF(B86=INDEX(BD,,2),INDEX(BD,,9),""))</f>
        <v>0</v>
      </c>
      <c r="D86" s="17">
        <f t="array" aca="1" ref="D86" ca="1">COUNT(IF(B86=INDEX(BD,,2),INDEX(BD,,9),""))</f>
        <v>0</v>
      </c>
      <c r="E86" s="4">
        <f t="array" aca="1" ref="E86" ca="1">IFERROR(AVERAGE(IF(B86=INDEX(BD,,2),INDEX(BD,,9),"")),0)</f>
        <v>0</v>
      </c>
      <c r="F86" s="4">
        <f t="array" aca="1" ref="F86" ca="1">MAX(IF(B86=INDEX(BD,,2),INDEX(BD,,9),""))</f>
        <v>0</v>
      </c>
      <c r="G86" s="4">
        <f t="array" aca="1" ref="G86" ca="1">MIN(IF(B86=INDEX(BD,,2),INDEX(BD,,9),0))</f>
        <v>0</v>
      </c>
    </row>
    <row r="87" spans="2:7" x14ac:dyDescent="0.3">
      <c r="B87" s="29">
        <v>44263</v>
      </c>
      <c r="C87" s="4">
        <f t="array" aca="1" ref="C87" ca="1">SUM(IF(B87=INDEX(BD,,2),INDEX(BD,,9),""))</f>
        <v>0</v>
      </c>
      <c r="D87" s="17">
        <f t="array" aca="1" ref="D87" ca="1">COUNT(IF(B87=INDEX(BD,,2),INDEX(BD,,9),""))</f>
        <v>0</v>
      </c>
      <c r="E87" s="4">
        <f t="array" aca="1" ref="E87" ca="1">IFERROR(AVERAGE(IF(B87=INDEX(BD,,2),INDEX(BD,,9),"")),0)</f>
        <v>0</v>
      </c>
      <c r="F87" s="4">
        <f t="array" aca="1" ref="F87" ca="1">MAX(IF(B87=INDEX(BD,,2),INDEX(BD,,9),""))</f>
        <v>0</v>
      </c>
      <c r="G87" s="4">
        <f t="array" aca="1" ref="G87" ca="1">MIN(IF(B87=INDEX(BD,,2),INDEX(BD,,9),0))</f>
        <v>0</v>
      </c>
    </row>
    <row r="88" spans="2:7" x14ac:dyDescent="0.3">
      <c r="B88" s="29">
        <v>44264</v>
      </c>
      <c r="C88" s="4">
        <f t="array" aca="1" ref="C88" ca="1">SUM(IF(B88=INDEX(BD,,2),INDEX(BD,,9),""))</f>
        <v>0</v>
      </c>
      <c r="D88" s="17">
        <f t="array" aca="1" ref="D88" ca="1">COUNT(IF(B88=INDEX(BD,,2),INDEX(BD,,9),""))</f>
        <v>0</v>
      </c>
      <c r="E88" s="4">
        <f t="array" aca="1" ref="E88" ca="1">IFERROR(AVERAGE(IF(B88=INDEX(BD,,2),INDEX(BD,,9),"")),0)</f>
        <v>0</v>
      </c>
      <c r="F88" s="4">
        <f t="array" aca="1" ref="F88" ca="1">MAX(IF(B88=INDEX(BD,,2),INDEX(BD,,9),""))</f>
        <v>0</v>
      </c>
      <c r="G88" s="4">
        <f t="array" aca="1" ref="G88" ca="1">MIN(IF(B88=INDEX(BD,,2),INDEX(BD,,9),0))</f>
        <v>0</v>
      </c>
    </row>
    <row r="89" spans="2:7" x14ac:dyDescent="0.3">
      <c r="B89" s="29">
        <v>44265</v>
      </c>
      <c r="C89" s="4">
        <f t="array" aca="1" ref="C89" ca="1">SUM(IF(B89=INDEX(BD,,2),INDEX(BD,,9),""))</f>
        <v>0</v>
      </c>
      <c r="D89" s="17">
        <f t="array" aca="1" ref="D89" ca="1">COUNT(IF(B89=INDEX(BD,,2),INDEX(BD,,9),""))</f>
        <v>0</v>
      </c>
      <c r="E89" s="4">
        <f t="array" aca="1" ref="E89" ca="1">IFERROR(AVERAGE(IF(B89=INDEX(BD,,2),INDEX(BD,,9),"")),0)</f>
        <v>0</v>
      </c>
      <c r="F89" s="4">
        <f t="array" aca="1" ref="F89" ca="1">MAX(IF(B89=INDEX(BD,,2),INDEX(BD,,9),""))</f>
        <v>0</v>
      </c>
      <c r="G89" s="4">
        <f t="array" aca="1" ref="G89" ca="1">MIN(IF(B89=INDEX(BD,,2),INDEX(BD,,9),0))</f>
        <v>0</v>
      </c>
    </row>
    <row r="90" spans="2:7" x14ac:dyDescent="0.3">
      <c r="B90" s="29">
        <v>44266</v>
      </c>
      <c r="C90" s="4">
        <f t="array" aca="1" ref="C90" ca="1">SUM(IF(B90=INDEX(BD,,2),INDEX(BD,,9),""))</f>
        <v>0</v>
      </c>
      <c r="D90" s="17">
        <f t="array" aca="1" ref="D90" ca="1">COUNT(IF(B90=INDEX(BD,,2),INDEX(BD,,9),""))</f>
        <v>0</v>
      </c>
      <c r="E90" s="4">
        <f t="array" aca="1" ref="E90" ca="1">IFERROR(AVERAGE(IF(B90=INDEX(BD,,2),INDEX(BD,,9),"")),0)</f>
        <v>0</v>
      </c>
      <c r="F90" s="4">
        <f t="array" aca="1" ref="F90" ca="1">MAX(IF(B90=INDEX(BD,,2),INDEX(BD,,9),""))</f>
        <v>0</v>
      </c>
      <c r="G90" s="4">
        <f t="array" aca="1" ref="G90" ca="1">MIN(IF(B90=INDEX(BD,,2),INDEX(BD,,9),0))</f>
        <v>0</v>
      </c>
    </row>
    <row r="91" spans="2:7" x14ac:dyDescent="0.3">
      <c r="B91" s="29">
        <v>44267</v>
      </c>
      <c r="C91" s="4">
        <f t="array" aca="1" ref="C91" ca="1">SUM(IF(B91=INDEX(BD,,2),INDEX(BD,,9),""))</f>
        <v>0</v>
      </c>
      <c r="D91" s="17">
        <f t="array" aca="1" ref="D91" ca="1">COUNT(IF(B91=INDEX(BD,,2),INDEX(BD,,9),""))</f>
        <v>0</v>
      </c>
      <c r="E91" s="4">
        <f t="array" aca="1" ref="E91" ca="1">IFERROR(AVERAGE(IF(B91=INDEX(BD,,2),INDEX(BD,,9),"")),0)</f>
        <v>0</v>
      </c>
      <c r="F91" s="4">
        <f t="array" aca="1" ref="F91" ca="1">MAX(IF(B91=INDEX(BD,,2),INDEX(BD,,9),""))</f>
        <v>0</v>
      </c>
      <c r="G91" s="4">
        <f t="array" aca="1" ref="G91" ca="1">MIN(IF(B91=INDEX(BD,,2),INDEX(BD,,9),0))</f>
        <v>0</v>
      </c>
    </row>
    <row r="92" spans="2:7" x14ac:dyDescent="0.3">
      <c r="B92" s="29">
        <v>44268</v>
      </c>
      <c r="C92" s="4">
        <f t="array" aca="1" ref="C92" ca="1">SUM(IF(B92=INDEX(BD,,2),INDEX(BD,,9),""))</f>
        <v>0</v>
      </c>
      <c r="D92" s="17">
        <f t="array" aca="1" ref="D92" ca="1">COUNT(IF(B92=INDEX(BD,,2),INDEX(BD,,9),""))</f>
        <v>0</v>
      </c>
      <c r="E92" s="4">
        <f t="array" aca="1" ref="E92" ca="1">IFERROR(AVERAGE(IF(B92=INDEX(BD,,2),INDEX(BD,,9),"")),0)</f>
        <v>0</v>
      </c>
      <c r="F92" s="4">
        <f t="array" aca="1" ref="F92" ca="1">MAX(IF(B92=INDEX(BD,,2),INDEX(BD,,9),""))</f>
        <v>0</v>
      </c>
      <c r="G92" s="4">
        <f t="array" aca="1" ref="G92" ca="1">MIN(IF(B92=INDEX(BD,,2),INDEX(BD,,9),0))</f>
        <v>0</v>
      </c>
    </row>
    <row r="93" spans="2:7" x14ac:dyDescent="0.3">
      <c r="B93" s="29">
        <v>44269</v>
      </c>
      <c r="C93" s="4">
        <f t="array" aca="1" ref="C93" ca="1">SUM(IF(B93=INDEX(BD,,2),INDEX(BD,,9),""))</f>
        <v>0</v>
      </c>
      <c r="D93" s="17">
        <f t="array" aca="1" ref="D93" ca="1">COUNT(IF(B93=INDEX(BD,,2),INDEX(BD,,9),""))</f>
        <v>0</v>
      </c>
      <c r="E93" s="4">
        <f t="array" aca="1" ref="E93" ca="1">IFERROR(AVERAGE(IF(B93=INDEX(BD,,2),INDEX(BD,,9),"")),0)</f>
        <v>0</v>
      </c>
      <c r="F93" s="4">
        <f t="array" aca="1" ref="F93" ca="1">MAX(IF(B93=INDEX(BD,,2),INDEX(BD,,9),""))</f>
        <v>0</v>
      </c>
      <c r="G93" s="4">
        <f t="array" aca="1" ref="G93" ca="1">MIN(IF(B93=INDEX(BD,,2),INDEX(BD,,9),0))</f>
        <v>0</v>
      </c>
    </row>
    <row r="94" spans="2:7" x14ac:dyDescent="0.3">
      <c r="B94" s="29">
        <v>44270</v>
      </c>
      <c r="C94" s="4">
        <f t="array" aca="1" ref="C94" ca="1">SUM(IF(B94=INDEX(BD,,2),INDEX(BD,,9),""))</f>
        <v>0</v>
      </c>
      <c r="D94" s="17">
        <f t="array" aca="1" ref="D94" ca="1">COUNT(IF(B94=INDEX(BD,,2),INDEX(BD,,9),""))</f>
        <v>0</v>
      </c>
      <c r="E94" s="4">
        <f t="array" aca="1" ref="E94" ca="1">IFERROR(AVERAGE(IF(B94=INDEX(BD,,2),INDEX(BD,,9),"")),0)</f>
        <v>0</v>
      </c>
      <c r="F94" s="4">
        <f t="array" aca="1" ref="F94" ca="1">MAX(IF(B94=INDEX(BD,,2),INDEX(BD,,9),""))</f>
        <v>0</v>
      </c>
      <c r="G94" s="4">
        <f t="array" aca="1" ref="G94" ca="1">MIN(IF(B94=INDEX(BD,,2),INDEX(BD,,9),0))</f>
        <v>0</v>
      </c>
    </row>
    <row r="95" spans="2:7" x14ac:dyDescent="0.3">
      <c r="B95" s="29">
        <v>44271</v>
      </c>
      <c r="C95" s="4">
        <f t="array" aca="1" ref="C95" ca="1">SUM(IF(B95=INDEX(BD,,2),INDEX(BD,,9),""))</f>
        <v>0</v>
      </c>
      <c r="D95" s="17">
        <f t="array" aca="1" ref="D95" ca="1">COUNT(IF(B95=INDEX(BD,,2),INDEX(BD,,9),""))</f>
        <v>0</v>
      </c>
      <c r="E95" s="4">
        <f t="array" aca="1" ref="E95" ca="1">IFERROR(AVERAGE(IF(B95=INDEX(BD,,2),INDEX(BD,,9),"")),0)</f>
        <v>0</v>
      </c>
      <c r="F95" s="4">
        <f t="array" aca="1" ref="F95" ca="1">MAX(IF(B95=INDEX(BD,,2),INDEX(BD,,9),""))</f>
        <v>0</v>
      </c>
      <c r="G95" s="4">
        <f t="array" aca="1" ref="G95" ca="1">MIN(IF(B95=INDEX(BD,,2),INDEX(BD,,9),0))</f>
        <v>0</v>
      </c>
    </row>
    <row r="96" spans="2:7" x14ac:dyDescent="0.3">
      <c r="B96" s="29">
        <v>44272</v>
      </c>
      <c r="C96" s="4">
        <f t="array" aca="1" ref="C96" ca="1">SUM(IF(B96=INDEX(BD,,2),INDEX(BD,,9),""))</f>
        <v>0</v>
      </c>
      <c r="D96" s="17">
        <f t="array" aca="1" ref="D96" ca="1">COUNT(IF(B96=INDEX(BD,,2),INDEX(BD,,9),""))</f>
        <v>0</v>
      </c>
      <c r="E96" s="4">
        <f t="array" aca="1" ref="E96" ca="1">IFERROR(AVERAGE(IF(B96=INDEX(BD,,2),INDEX(BD,,9),"")),0)</f>
        <v>0</v>
      </c>
      <c r="F96" s="4">
        <f t="array" aca="1" ref="F96" ca="1">MAX(IF(B96=INDEX(BD,,2),INDEX(BD,,9),""))</f>
        <v>0</v>
      </c>
      <c r="G96" s="4">
        <f t="array" aca="1" ref="G96" ca="1">MIN(IF(B96=INDEX(BD,,2),INDEX(BD,,9),0))</f>
        <v>0</v>
      </c>
    </row>
    <row r="97" spans="2:7" x14ac:dyDescent="0.3">
      <c r="B97" s="29">
        <v>44273</v>
      </c>
      <c r="C97" s="4">
        <f t="array" aca="1" ref="C97" ca="1">SUM(IF(B97=INDEX(BD,,2),INDEX(BD,,9),""))</f>
        <v>0</v>
      </c>
      <c r="D97" s="17">
        <f t="array" aca="1" ref="D97" ca="1">COUNT(IF(B97=INDEX(BD,,2),INDEX(BD,,9),""))</f>
        <v>0</v>
      </c>
      <c r="E97" s="4">
        <f t="array" aca="1" ref="E97" ca="1">IFERROR(AVERAGE(IF(B97=INDEX(BD,,2),INDEX(BD,,9),"")),0)</f>
        <v>0</v>
      </c>
      <c r="F97" s="4">
        <f t="array" aca="1" ref="F97" ca="1">MAX(IF(B97=INDEX(BD,,2),INDEX(BD,,9),""))</f>
        <v>0</v>
      </c>
      <c r="G97" s="4">
        <f t="array" aca="1" ref="G97" ca="1">MIN(IF(B97=INDEX(BD,,2),INDEX(BD,,9),0))</f>
        <v>0</v>
      </c>
    </row>
    <row r="98" spans="2:7" x14ac:dyDescent="0.3">
      <c r="B98" s="29">
        <v>44274</v>
      </c>
      <c r="C98" s="4">
        <f t="array" aca="1" ref="C98" ca="1">SUM(IF(B98=INDEX(BD,,2),INDEX(BD,,9),""))</f>
        <v>0</v>
      </c>
      <c r="D98" s="17">
        <f t="array" aca="1" ref="D98" ca="1">COUNT(IF(B98=INDEX(BD,,2),INDEX(BD,,9),""))</f>
        <v>0</v>
      </c>
      <c r="E98" s="4">
        <f t="array" aca="1" ref="E98" ca="1">IFERROR(AVERAGE(IF(B98=INDEX(BD,,2),INDEX(BD,,9),"")),0)</f>
        <v>0</v>
      </c>
      <c r="F98" s="4">
        <f t="array" aca="1" ref="F98" ca="1">MAX(IF(B98=INDEX(BD,,2),INDEX(BD,,9),""))</f>
        <v>0</v>
      </c>
      <c r="G98" s="4">
        <f t="array" aca="1" ref="G98" ca="1">MIN(IF(B98=INDEX(BD,,2),INDEX(BD,,9),0))</f>
        <v>0</v>
      </c>
    </row>
    <row r="99" spans="2:7" x14ac:dyDescent="0.3">
      <c r="B99" s="29">
        <v>44275</v>
      </c>
      <c r="C99" s="4">
        <f t="array" aca="1" ref="C99" ca="1">SUM(IF(B99=INDEX(BD,,2),INDEX(BD,,9),""))</f>
        <v>0</v>
      </c>
      <c r="D99" s="17">
        <f t="array" aca="1" ref="D99" ca="1">COUNT(IF(B99=INDEX(BD,,2),INDEX(BD,,9),""))</f>
        <v>0</v>
      </c>
      <c r="E99" s="4">
        <f t="array" aca="1" ref="E99" ca="1">IFERROR(AVERAGE(IF(B99=INDEX(BD,,2),INDEX(BD,,9),"")),0)</f>
        <v>0</v>
      </c>
      <c r="F99" s="4">
        <f t="array" aca="1" ref="F99" ca="1">MAX(IF(B99=INDEX(BD,,2),INDEX(BD,,9),""))</f>
        <v>0</v>
      </c>
      <c r="G99" s="4">
        <f t="array" aca="1" ref="G99" ca="1">MIN(IF(B99=INDEX(BD,,2),INDEX(BD,,9),0))</f>
        <v>0</v>
      </c>
    </row>
    <row r="100" spans="2:7" x14ac:dyDescent="0.3">
      <c r="B100" s="29">
        <v>44276</v>
      </c>
      <c r="C100" s="4">
        <f t="array" aca="1" ref="C100" ca="1">SUM(IF(B100=INDEX(BD,,2),INDEX(BD,,9),""))</f>
        <v>0</v>
      </c>
      <c r="D100" s="17">
        <f t="array" aca="1" ref="D100" ca="1">COUNT(IF(B100=INDEX(BD,,2),INDEX(BD,,9),""))</f>
        <v>0</v>
      </c>
      <c r="E100" s="4">
        <f t="array" aca="1" ref="E100" ca="1">IFERROR(AVERAGE(IF(B100=INDEX(BD,,2),INDEX(BD,,9),"")),0)</f>
        <v>0</v>
      </c>
      <c r="F100" s="4">
        <f t="array" aca="1" ref="F100" ca="1">MAX(IF(B100=INDEX(BD,,2),INDEX(BD,,9),""))</f>
        <v>0</v>
      </c>
      <c r="G100" s="4">
        <f t="array" aca="1" ref="G100" ca="1">MIN(IF(B100=INDEX(BD,,2),INDEX(BD,,9),0))</f>
        <v>0</v>
      </c>
    </row>
    <row r="101" spans="2:7" x14ac:dyDescent="0.3">
      <c r="B101" s="29">
        <v>44277</v>
      </c>
      <c r="C101" s="4">
        <f t="array" aca="1" ref="C101" ca="1">SUM(IF(B101=INDEX(BD,,2),INDEX(BD,,9),""))</f>
        <v>0</v>
      </c>
      <c r="D101" s="17">
        <f t="array" aca="1" ref="D101" ca="1">COUNT(IF(B101=INDEX(BD,,2),INDEX(BD,,9),""))</f>
        <v>0</v>
      </c>
      <c r="E101" s="4">
        <f t="array" aca="1" ref="E101" ca="1">IFERROR(AVERAGE(IF(B101=INDEX(BD,,2),INDEX(BD,,9),"")),0)</f>
        <v>0</v>
      </c>
      <c r="F101" s="4">
        <f t="array" aca="1" ref="F101" ca="1">MAX(IF(B101=INDEX(BD,,2),INDEX(BD,,9),""))</f>
        <v>0</v>
      </c>
      <c r="G101" s="4">
        <f t="array" aca="1" ref="G101" ca="1">MIN(IF(B101=INDEX(BD,,2),INDEX(BD,,9),0))</f>
        <v>0</v>
      </c>
    </row>
    <row r="102" spans="2:7" x14ac:dyDescent="0.3">
      <c r="B102" s="29">
        <v>44278</v>
      </c>
      <c r="C102" s="4">
        <f t="array" aca="1" ref="C102" ca="1">SUM(IF(B102=INDEX(BD,,2),INDEX(BD,,9),""))</f>
        <v>0</v>
      </c>
      <c r="D102" s="17">
        <f t="array" aca="1" ref="D102" ca="1">COUNT(IF(B102=INDEX(BD,,2),INDEX(BD,,9),""))</f>
        <v>0</v>
      </c>
      <c r="E102" s="4">
        <f t="array" aca="1" ref="E102" ca="1">IFERROR(AVERAGE(IF(B102=INDEX(BD,,2),INDEX(BD,,9),"")),0)</f>
        <v>0</v>
      </c>
      <c r="F102" s="4">
        <f t="array" aca="1" ref="F102" ca="1">MAX(IF(B102=INDEX(BD,,2),INDEX(BD,,9),""))</f>
        <v>0</v>
      </c>
      <c r="G102" s="4">
        <f t="array" aca="1" ref="G102" ca="1">MIN(IF(B102=INDEX(BD,,2),INDEX(BD,,9),0))</f>
        <v>0</v>
      </c>
    </row>
    <row r="103" spans="2:7" x14ac:dyDescent="0.3">
      <c r="B103" s="29">
        <v>44279</v>
      </c>
      <c r="C103" s="4">
        <f t="array" aca="1" ref="C103" ca="1">SUM(IF(B103=INDEX(BD,,2),INDEX(BD,,9),""))</f>
        <v>0</v>
      </c>
      <c r="D103" s="17">
        <f t="array" aca="1" ref="D103" ca="1">COUNT(IF(B103=INDEX(BD,,2),INDEX(BD,,9),""))</f>
        <v>0</v>
      </c>
      <c r="E103" s="4">
        <f t="array" aca="1" ref="E103" ca="1">IFERROR(AVERAGE(IF(B103=INDEX(BD,,2),INDEX(BD,,9),"")),0)</f>
        <v>0</v>
      </c>
      <c r="F103" s="4">
        <f t="array" aca="1" ref="F103" ca="1">MAX(IF(B103=INDEX(BD,,2),INDEX(BD,,9),""))</f>
        <v>0</v>
      </c>
      <c r="G103" s="4">
        <f t="array" aca="1" ref="G103" ca="1">MIN(IF(B103=INDEX(BD,,2),INDEX(BD,,9),0))</f>
        <v>0</v>
      </c>
    </row>
    <row r="104" spans="2:7" x14ac:dyDescent="0.3">
      <c r="B104" s="29">
        <v>44280</v>
      </c>
      <c r="C104" s="4">
        <f t="array" aca="1" ref="C104" ca="1">SUM(IF(B104=INDEX(BD,,2),INDEX(BD,,9),""))</f>
        <v>0</v>
      </c>
      <c r="D104" s="17">
        <f t="array" aca="1" ref="D104" ca="1">COUNT(IF(B104=INDEX(BD,,2),INDEX(BD,,9),""))</f>
        <v>0</v>
      </c>
      <c r="E104" s="4">
        <f t="array" aca="1" ref="E104" ca="1">IFERROR(AVERAGE(IF(B104=INDEX(BD,,2),INDEX(BD,,9),"")),0)</f>
        <v>0</v>
      </c>
      <c r="F104" s="4">
        <f t="array" aca="1" ref="F104" ca="1">MAX(IF(B104=INDEX(BD,,2),INDEX(BD,,9),""))</f>
        <v>0</v>
      </c>
      <c r="G104" s="4">
        <f t="array" aca="1" ref="G104" ca="1">MIN(IF(B104=INDEX(BD,,2),INDEX(BD,,9),0))</f>
        <v>0</v>
      </c>
    </row>
    <row r="105" spans="2:7" x14ac:dyDescent="0.3">
      <c r="B105" s="29">
        <v>44281</v>
      </c>
      <c r="C105" s="4">
        <f t="array" aca="1" ref="C105" ca="1">SUM(IF(B105=INDEX(BD,,2),INDEX(BD,,9),""))</f>
        <v>0</v>
      </c>
      <c r="D105" s="17">
        <f t="array" aca="1" ref="D105" ca="1">COUNT(IF(B105=INDEX(BD,,2),INDEX(BD,,9),""))</f>
        <v>0</v>
      </c>
      <c r="E105" s="4">
        <f t="array" aca="1" ref="E105" ca="1">IFERROR(AVERAGE(IF(B105=INDEX(BD,,2),INDEX(BD,,9),"")),0)</f>
        <v>0</v>
      </c>
      <c r="F105" s="4">
        <f t="array" aca="1" ref="F105" ca="1">MAX(IF(B105=INDEX(BD,,2),INDEX(BD,,9),""))</f>
        <v>0</v>
      </c>
      <c r="G105" s="4">
        <f t="array" aca="1" ref="G105" ca="1">MIN(IF(B105=INDEX(BD,,2),INDEX(BD,,9),0))</f>
        <v>0</v>
      </c>
    </row>
    <row r="106" spans="2:7" x14ac:dyDescent="0.3">
      <c r="B106" s="29">
        <v>44282</v>
      </c>
      <c r="C106" s="4">
        <f t="array" aca="1" ref="C106" ca="1">SUM(IF(B106=INDEX(BD,,2),INDEX(BD,,9),""))</f>
        <v>0</v>
      </c>
      <c r="D106" s="17">
        <f t="array" aca="1" ref="D106" ca="1">COUNT(IF(B106=INDEX(BD,,2),INDEX(BD,,9),""))</f>
        <v>0</v>
      </c>
      <c r="E106" s="4">
        <f t="array" aca="1" ref="E106" ca="1">IFERROR(AVERAGE(IF(B106=INDEX(BD,,2),INDEX(BD,,9),"")),0)</f>
        <v>0</v>
      </c>
      <c r="F106" s="4">
        <f t="array" aca="1" ref="F106" ca="1">MAX(IF(B106=INDEX(BD,,2),INDEX(BD,,9),""))</f>
        <v>0</v>
      </c>
      <c r="G106" s="4">
        <f t="array" aca="1" ref="G106" ca="1">MIN(IF(B106=INDEX(BD,,2),INDEX(BD,,9),0))</f>
        <v>0</v>
      </c>
    </row>
    <row r="107" spans="2:7" x14ac:dyDescent="0.3">
      <c r="B107" s="29">
        <v>44283</v>
      </c>
      <c r="C107" s="4">
        <f t="array" aca="1" ref="C107" ca="1">SUM(IF(B107=INDEX(BD,,2),INDEX(BD,,9),""))</f>
        <v>0</v>
      </c>
      <c r="D107" s="17">
        <f t="array" aca="1" ref="D107" ca="1">COUNT(IF(B107=INDEX(BD,,2),INDEX(BD,,9),""))</f>
        <v>0</v>
      </c>
      <c r="E107" s="4">
        <f t="array" aca="1" ref="E107" ca="1">IFERROR(AVERAGE(IF(B107=INDEX(BD,,2),INDEX(BD,,9),"")),0)</f>
        <v>0</v>
      </c>
      <c r="F107" s="4">
        <f t="array" aca="1" ref="F107" ca="1">MAX(IF(B107=INDEX(BD,,2),INDEX(BD,,9),""))</f>
        <v>0</v>
      </c>
      <c r="G107" s="4">
        <f t="array" aca="1" ref="G107" ca="1">MIN(IF(B107=INDEX(BD,,2),INDEX(BD,,9),0))</f>
        <v>0</v>
      </c>
    </row>
    <row r="108" spans="2:7" x14ac:dyDescent="0.3">
      <c r="B108" s="29">
        <v>44284</v>
      </c>
      <c r="C108" s="4">
        <f t="array" aca="1" ref="C108" ca="1">SUM(IF(B108=INDEX(BD,,2),INDEX(BD,,9),""))</f>
        <v>0</v>
      </c>
      <c r="D108" s="17">
        <f t="array" aca="1" ref="D108" ca="1">COUNT(IF(B108=INDEX(BD,,2),INDEX(BD,,9),""))</f>
        <v>0</v>
      </c>
      <c r="E108" s="4">
        <f t="array" aca="1" ref="E108" ca="1">IFERROR(AVERAGE(IF(B108=INDEX(BD,,2),INDEX(BD,,9),"")),0)</f>
        <v>0</v>
      </c>
      <c r="F108" s="4">
        <f t="array" aca="1" ref="F108" ca="1">MAX(IF(B108=INDEX(BD,,2),INDEX(BD,,9),""))</f>
        <v>0</v>
      </c>
      <c r="G108" s="4">
        <f t="array" aca="1" ref="G108" ca="1">MIN(IF(B108=INDEX(BD,,2),INDEX(BD,,9),0))</f>
        <v>0</v>
      </c>
    </row>
    <row r="109" spans="2:7" x14ac:dyDescent="0.3">
      <c r="B109" s="29">
        <v>44285</v>
      </c>
      <c r="C109" s="4">
        <f t="array" aca="1" ref="C109" ca="1">SUM(IF(B109=INDEX(BD,,2),INDEX(BD,,9),""))</f>
        <v>0</v>
      </c>
      <c r="D109" s="17">
        <f t="array" aca="1" ref="D109" ca="1">COUNT(IF(B109=INDEX(BD,,2),INDEX(BD,,9),""))</f>
        <v>0</v>
      </c>
      <c r="E109" s="4">
        <f t="array" aca="1" ref="E109" ca="1">IFERROR(AVERAGE(IF(B109=INDEX(BD,,2),INDEX(BD,,9),"")),0)</f>
        <v>0</v>
      </c>
      <c r="F109" s="4">
        <f t="array" aca="1" ref="F109" ca="1">MAX(IF(B109=INDEX(BD,,2),INDEX(BD,,9),""))</f>
        <v>0</v>
      </c>
      <c r="G109" s="4">
        <f t="array" aca="1" ref="G109" ca="1">MIN(IF(B109=INDEX(BD,,2),INDEX(BD,,9),0))</f>
        <v>0</v>
      </c>
    </row>
    <row r="110" spans="2:7" x14ac:dyDescent="0.3">
      <c r="B110" s="29">
        <v>44286</v>
      </c>
      <c r="C110" s="4">
        <f t="array" aca="1" ref="C110" ca="1">SUM(IF(B110=INDEX(BD,,2),INDEX(BD,,9),""))</f>
        <v>0</v>
      </c>
      <c r="D110" s="17">
        <f t="array" aca="1" ref="D110" ca="1">COUNT(IF(B110=INDEX(BD,,2),INDEX(BD,,9),""))</f>
        <v>0</v>
      </c>
      <c r="E110" s="4">
        <f t="array" aca="1" ref="E110" ca="1">IFERROR(AVERAGE(IF(B110=INDEX(BD,,2),INDEX(BD,,9),"")),0)</f>
        <v>0</v>
      </c>
      <c r="F110" s="4">
        <f t="array" aca="1" ref="F110" ca="1">MAX(IF(B110=INDEX(BD,,2),INDEX(BD,,9),""))</f>
        <v>0</v>
      </c>
      <c r="G110" s="4">
        <f t="array" aca="1" ref="G110" ca="1">MIN(IF(B110=INDEX(BD,,2),INDEX(BD,,9),0))</f>
        <v>0</v>
      </c>
    </row>
    <row r="111" spans="2:7" x14ac:dyDescent="0.3">
      <c r="B111" s="29">
        <v>44287</v>
      </c>
      <c r="C111" s="4">
        <f t="array" aca="1" ref="C111" ca="1">SUM(IF(B111=INDEX(BD,,2),INDEX(BD,,9),""))</f>
        <v>0</v>
      </c>
      <c r="D111" s="17">
        <f t="array" aca="1" ref="D111" ca="1">COUNT(IF(B111=INDEX(BD,,2),INDEX(BD,,9),""))</f>
        <v>0</v>
      </c>
      <c r="E111" s="4">
        <f t="array" aca="1" ref="E111" ca="1">IFERROR(AVERAGE(IF(B111=INDEX(BD,,2),INDEX(BD,,9),"")),0)</f>
        <v>0</v>
      </c>
      <c r="F111" s="4">
        <f t="array" aca="1" ref="F111" ca="1">MAX(IF(B111=INDEX(BD,,2),INDEX(BD,,9),""))</f>
        <v>0</v>
      </c>
      <c r="G111" s="4">
        <f t="array" aca="1" ref="G111" ca="1">MIN(IF(B111=INDEX(BD,,2),INDEX(BD,,9),0))</f>
        <v>0</v>
      </c>
    </row>
    <row r="112" spans="2:7" x14ac:dyDescent="0.3">
      <c r="B112" s="29">
        <v>44288</v>
      </c>
      <c r="C112" s="4">
        <f t="array" aca="1" ref="C112" ca="1">SUM(IF(B112=INDEX(BD,,2),INDEX(BD,,9),""))</f>
        <v>0</v>
      </c>
      <c r="D112" s="17">
        <f t="array" aca="1" ref="D112" ca="1">COUNT(IF(B112=INDEX(BD,,2),INDEX(BD,,9),""))</f>
        <v>0</v>
      </c>
      <c r="E112" s="4">
        <f t="array" aca="1" ref="E112" ca="1">IFERROR(AVERAGE(IF(B112=INDEX(BD,,2),INDEX(BD,,9),"")),0)</f>
        <v>0</v>
      </c>
      <c r="F112" s="4">
        <f t="array" aca="1" ref="F112" ca="1">MAX(IF(B112=INDEX(BD,,2),INDEX(BD,,9),""))</f>
        <v>0</v>
      </c>
      <c r="G112" s="4">
        <f t="array" aca="1" ref="G112" ca="1">MIN(IF(B112=INDEX(BD,,2),INDEX(BD,,9),0))</f>
        <v>0</v>
      </c>
    </row>
    <row r="113" spans="2:7" x14ac:dyDescent="0.3">
      <c r="B113" s="29">
        <v>44289</v>
      </c>
      <c r="C113" s="4">
        <f t="array" aca="1" ref="C113" ca="1">SUM(IF(B113=INDEX(BD,,2),INDEX(BD,,9),""))</f>
        <v>0</v>
      </c>
      <c r="D113" s="17">
        <f t="array" aca="1" ref="D113" ca="1">COUNT(IF(B113=INDEX(BD,,2),INDEX(BD,,9),""))</f>
        <v>0</v>
      </c>
      <c r="E113" s="4">
        <f t="array" aca="1" ref="E113" ca="1">IFERROR(AVERAGE(IF(B113=INDEX(BD,,2),INDEX(BD,,9),"")),0)</f>
        <v>0</v>
      </c>
      <c r="F113" s="4">
        <f t="array" aca="1" ref="F113" ca="1">MAX(IF(B113=INDEX(BD,,2),INDEX(BD,,9),""))</f>
        <v>0</v>
      </c>
      <c r="G113" s="4">
        <f t="array" aca="1" ref="G113" ca="1">MIN(IF(B113=INDEX(BD,,2),INDEX(BD,,9),0))</f>
        <v>0</v>
      </c>
    </row>
    <row r="114" spans="2:7" x14ac:dyDescent="0.3">
      <c r="B114" s="29">
        <v>44290</v>
      </c>
      <c r="C114" s="4">
        <f t="array" aca="1" ref="C114" ca="1">SUM(IF(B114=INDEX(BD,,2),INDEX(BD,,9),""))</f>
        <v>0</v>
      </c>
      <c r="D114" s="17">
        <f t="array" aca="1" ref="D114" ca="1">COUNT(IF(B114=INDEX(BD,,2),INDEX(BD,,9),""))</f>
        <v>0</v>
      </c>
      <c r="E114" s="4">
        <f t="array" aca="1" ref="E114" ca="1">IFERROR(AVERAGE(IF(B114=INDEX(BD,,2),INDEX(BD,,9),"")),0)</f>
        <v>0</v>
      </c>
      <c r="F114" s="4">
        <f t="array" aca="1" ref="F114" ca="1">MAX(IF(B114=INDEX(BD,,2),INDEX(BD,,9),""))</f>
        <v>0</v>
      </c>
      <c r="G114" s="4">
        <f t="array" aca="1" ref="G114" ca="1">MIN(IF(B114=INDEX(BD,,2),INDEX(BD,,9),0))</f>
        <v>0</v>
      </c>
    </row>
    <row r="115" spans="2:7" x14ac:dyDescent="0.3">
      <c r="B115" s="29">
        <v>44291</v>
      </c>
      <c r="C115" s="4">
        <f t="array" aca="1" ref="C115" ca="1">SUM(IF(B115=INDEX(BD,,2),INDEX(BD,,9),""))</f>
        <v>0</v>
      </c>
      <c r="D115" s="17">
        <f t="array" aca="1" ref="D115" ca="1">COUNT(IF(B115=INDEX(BD,,2),INDEX(BD,,9),""))</f>
        <v>0</v>
      </c>
      <c r="E115" s="4">
        <f t="array" aca="1" ref="E115" ca="1">IFERROR(AVERAGE(IF(B115=INDEX(BD,,2),INDEX(BD,,9),"")),0)</f>
        <v>0</v>
      </c>
      <c r="F115" s="4">
        <f t="array" aca="1" ref="F115" ca="1">MAX(IF(B115=INDEX(BD,,2),INDEX(BD,,9),""))</f>
        <v>0</v>
      </c>
      <c r="G115" s="4">
        <f t="array" aca="1" ref="G115" ca="1">MIN(IF(B115=INDEX(BD,,2),INDEX(BD,,9),0))</f>
        <v>0</v>
      </c>
    </row>
    <row r="116" spans="2:7" x14ac:dyDescent="0.3">
      <c r="B116" s="29">
        <v>44292</v>
      </c>
      <c r="C116" s="4">
        <f t="array" aca="1" ref="C116" ca="1">SUM(IF(B116=INDEX(BD,,2),INDEX(BD,,9),""))</f>
        <v>0</v>
      </c>
      <c r="D116" s="17">
        <f t="array" aca="1" ref="D116" ca="1">COUNT(IF(B116=INDEX(BD,,2),INDEX(BD,,9),""))</f>
        <v>0</v>
      </c>
      <c r="E116" s="4">
        <f t="array" aca="1" ref="E116" ca="1">IFERROR(AVERAGE(IF(B116=INDEX(BD,,2),INDEX(BD,,9),"")),0)</f>
        <v>0</v>
      </c>
      <c r="F116" s="4">
        <f t="array" aca="1" ref="F116" ca="1">MAX(IF(B116=INDEX(BD,,2),INDEX(BD,,9),""))</f>
        <v>0</v>
      </c>
      <c r="G116" s="4">
        <f t="array" aca="1" ref="G116" ca="1">MIN(IF(B116=INDEX(BD,,2),INDEX(BD,,9),0))</f>
        <v>0</v>
      </c>
    </row>
    <row r="117" spans="2:7" x14ac:dyDescent="0.3">
      <c r="B117" s="29">
        <v>44293</v>
      </c>
      <c r="C117" s="4">
        <f t="array" aca="1" ref="C117" ca="1">SUM(IF(B117=INDEX(BD,,2),INDEX(BD,,9),""))</f>
        <v>0</v>
      </c>
      <c r="D117" s="17">
        <f t="array" aca="1" ref="D117" ca="1">COUNT(IF(B117=INDEX(BD,,2),INDEX(BD,,9),""))</f>
        <v>0</v>
      </c>
      <c r="E117" s="4">
        <f t="array" aca="1" ref="E117" ca="1">IFERROR(AVERAGE(IF(B117=INDEX(BD,,2),INDEX(BD,,9),"")),0)</f>
        <v>0</v>
      </c>
      <c r="F117" s="4">
        <f t="array" aca="1" ref="F117" ca="1">MAX(IF(B117=INDEX(BD,,2),INDEX(BD,,9),""))</f>
        <v>0</v>
      </c>
      <c r="G117" s="4">
        <f t="array" aca="1" ref="G117" ca="1">MIN(IF(B117=INDEX(BD,,2),INDEX(BD,,9),0))</f>
        <v>0</v>
      </c>
    </row>
    <row r="118" spans="2:7" x14ac:dyDescent="0.3">
      <c r="B118" s="29">
        <v>44294</v>
      </c>
      <c r="C118" s="4">
        <f t="array" aca="1" ref="C118" ca="1">SUM(IF(B118=INDEX(BD,,2),INDEX(BD,,9),""))</f>
        <v>0</v>
      </c>
      <c r="D118" s="17">
        <f t="array" aca="1" ref="D118" ca="1">COUNT(IF(B118=INDEX(BD,,2),INDEX(BD,,9),""))</f>
        <v>0</v>
      </c>
      <c r="E118" s="4">
        <f t="array" aca="1" ref="E118" ca="1">IFERROR(AVERAGE(IF(B118=INDEX(BD,,2),INDEX(BD,,9),"")),0)</f>
        <v>0</v>
      </c>
      <c r="F118" s="4">
        <f t="array" aca="1" ref="F118" ca="1">MAX(IF(B118=INDEX(BD,,2),INDEX(BD,,9),""))</f>
        <v>0</v>
      </c>
      <c r="G118" s="4">
        <f t="array" aca="1" ref="G118" ca="1">MIN(IF(B118=INDEX(BD,,2),INDEX(BD,,9),0))</f>
        <v>0</v>
      </c>
    </row>
    <row r="119" spans="2:7" x14ac:dyDescent="0.3">
      <c r="B119" s="29">
        <v>44295</v>
      </c>
      <c r="C119" s="4">
        <f t="array" aca="1" ref="C119" ca="1">SUM(IF(B119=INDEX(BD,,2),INDEX(BD,,9),""))</f>
        <v>0</v>
      </c>
      <c r="D119" s="17">
        <f t="array" aca="1" ref="D119" ca="1">COUNT(IF(B119=INDEX(BD,,2),INDEX(BD,,9),""))</f>
        <v>0</v>
      </c>
      <c r="E119" s="4">
        <f t="array" aca="1" ref="E119" ca="1">IFERROR(AVERAGE(IF(B119=INDEX(BD,,2),INDEX(BD,,9),"")),0)</f>
        <v>0</v>
      </c>
      <c r="F119" s="4">
        <f t="array" aca="1" ref="F119" ca="1">MAX(IF(B119=INDEX(BD,,2),INDEX(BD,,9),""))</f>
        <v>0</v>
      </c>
      <c r="G119" s="4">
        <f t="array" aca="1" ref="G119" ca="1">MIN(IF(B119=INDEX(BD,,2),INDEX(BD,,9),0))</f>
        <v>0</v>
      </c>
    </row>
    <row r="120" spans="2:7" x14ac:dyDescent="0.3">
      <c r="B120" s="29">
        <v>44296</v>
      </c>
      <c r="C120" s="4">
        <f t="array" aca="1" ref="C120" ca="1">SUM(IF(B120=INDEX(BD,,2),INDEX(BD,,9),""))</f>
        <v>0</v>
      </c>
      <c r="D120" s="17">
        <f t="array" aca="1" ref="D120" ca="1">COUNT(IF(B120=INDEX(BD,,2),INDEX(BD,,9),""))</f>
        <v>0</v>
      </c>
      <c r="E120" s="4">
        <f t="array" aca="1" ref="E120" ca="1">IFERROR(AVERAGE(IF(B120=INDEX(BD,,2),INDEX(BD,,9),"")),0)</f>
        <v>0</v>
      </c>
      <c r="F120" s="4">
        <f t="array" aca="1" ref="F120" ca="1">MAX(IF(B120=INDEX(BD,,2),INDEX(BD,,9),""))</f>
        <v>0</v>
      </c>
      <c r="G120" s="4">
        <f t="array" aca="1" ref="G120" ca="1">MIN(IF(B120=INDEX(BD,,2),INDEX(BD,,9),0))</f>
        <v>0</v>
      </c>
    </row>
    <row r="121" spans="2:7" x14ac:dyDescent="0.3">
      <c r="B121" s="29">
        <v>44297</v>
      </c>
      <c r="C121" s="4">
        <f t="array" aca="1" ref="C121" ca="1">SUM(IF(B121=INDEX(BD,,2),INDEX(BD,,9),""))</f>
        <v>0</v>
      </c>
      <c r="D121" s="17">
        <f t="array" aca="1" ref="D121" ca="1">COUNT(IF(B121=INDEX(BD,,2),INDEX(BD,,9),""))</f>
        <v>0</v>
      </c>
      <c r="E121" s="4">
        <f t="array" aca="1" ref="E121" ca="1">IFERROR(AVERAGE(IF(B121=INDEX(BD,,2),INDEX(BD,,9),"")),0)</f>
        <v>0</v>
      </c>
      <c r="F121" s="4">
        <f t="array" aca="1" ref="F121" ca="1">MAX(IF(B121=INDEX(BD,,2),INDEX(BD,,9),""))</f>
        <v>0</v>
      </c>
      <c r="G121" s="4">
        <f t="array" aca="1" ref="G121" ca="1">MIN(IF(B121=INDEX(BD,,2),INDEX(BD,,9),0))</f>
        <v>0</v>
      </c>
    </row>
    <row r="122" spans="2:7" x14ac:dyDescent="0.3">
      <c r="B122" s="29">
        <v>44298</v>
      </c>
      <c r="C122" s="4">
        <f t="array" aca="1" ref="C122" ca="1">SUM(IF(B122=INDEX(BD,,2),INDEX(BD,,9),""))</f>
        <v>0</v>
      </c>
      <c r="D122" s="17">
        <f t="array" aca="1" ref="D122" ca="1">COUNT(IF(B122=INDEX(BD,,2),INDEX(BD,,9),""))</f>
        <v>0</v>
      </c>
      <c r="E122" s="4">
        <f t="array" aca="1" ref="E122" ca="1">IFERROR(AVERAGE(IF(B122=INDEX(BD,,2),INDEX(BD,,9),"")),0)</f>
        <v>0</v>
      </c>
      <c r="F122" s="4">
        <f t="array" aca="1" ref="F122" ca="1">MAX(IF(B122=INDEX(BD,,2),INDEX(BD,,9),""))</f>
        <v>0</v>
      </c>
      <c r="G122" s="4">
        <f t="array" aca="1" ref="G122" ca="1">MIN(IF(B122=INDEX(BD,,2),INDEX(BD,,9),0))</f>
        <v>0</v>
      </c>
    </row>
    <row r="123" spans="2:7" x14ac:dyDescent="0.3">
      <c r="B123" s="29">
        <v>44299</v>
      </c>
      <c r="C123" s="4">
        <f t="array" aca="1" ref="C123" ca="1">SUM(IF(B123=INDEX(BD,,2),INDEX(BD,,9),""))</f>
        <v>0</v>
      </c>
      <c r="D123" s="17">
        <f t="array" aca="1" ref="D123" ca="1">COUNT(IF(B123=INDEX(BD,,2),INDEX(BD,,9),""))</f>
        <v>0</v>
      </c>
      <c r="E123" s="4">
        <f t="array" aca="1" ref="E123" ca="1">IFERROR(AVERAGE(IF(B123=INDEX(BD,,2),INDEX(BD,,9),"")),0)</f>
        <v>0</v>
      </c>
      <c r="F123" s="4">
        <f t="array" aca="1" ref="F123" ca="1">MAX(IF(B123=INDEX(BD,,2),INDEX(BD,,9),""))</f>
        <v>0</v>
      </c>
      <c r="G123" s="4">
        <f t="array" aca="1" ref="G123" ca="1">MIN(IF(B123=INDEX(BD,,2),INDEX(BD,,9),0))</f>
        <v>0</v>
      </c>
    </row>
    <row r="124" spans="2:7" x14ac:dyDescent="0.3">
      <c r="B124" s="29">
        <v>44300</v>
      </c>
      <c r="C124" s="4">
        <f t="array" aca="1" ref="C124" ca="1">SUM(IF(B124=INDEX(BD,,2),INDEX(BD,,9),""))</f>
        <v>0</v>
      </c>
      <c r="D124" s="17">
        <f t="array" aca="1" ref="D124" ca="1">COUNT(IF(B124=INDEX(BD,,2),INDEX(BD,,9),""))</f>
        <v>0</v>
      </c>
      <c r="E124" s="4">
        <f t="array" aca="1" ref="E124" ca="1">IFERROR(AVERAGE(IF(B124=INDEX(BD,,2),INDEX(BD,,9),"")),0)</f>
        <v>0</v>
      </c>
      <c r="F124" s="4">
        <f t="array" aca="1" ref="F124" ca="1">MAX(IF(B124=INDEX(BD,,2),INDEX(BD,,9),""))</f>
        <v>0</v>
      </c>
      <c r="G124" s="4">
        <f t="array" aca="1" ref="G124" ca="1">MIN(IF(B124=INDEX(BD,,2),INDEX(BD,,9),0))</f>
        <v>0</v>
      </c>
    </row>
    <row r="125" spans="2:7" x14ac:dyDescent="0.3">
      <c r="B125" s="29">
        <v>44301</v>
      </c>
      <c r="C125" s="4">
        <f t="array" aca="1" ref="C125" ca="1">SUM(IF(B125=INDEX(BD,,2),INDEX(BD,,9),""))</f>
        <v>0</v>
      </c>
      <c r="D125" s="17">
        <f t="array" aca="1" ref="D125" ca="1">COUNT(IF(B125=INDEX(BD,,2),INDEX(BD,,9),""))</f>
        <v>0</v>
      </c>
      <c r="E125" s="4">
        <f t="array" aca="1" ref="E125" ca="1">IFERROR(AVERAGE(IF(B125=INDEX(BD,,2),INDEX(BD,,9),"")),0)</f>
        <v>0</v>
      </c>
      <c r="F125" s="4">
        <f t="array" aca="1" ref="F125" ca="1">MAX(IF(B125=INDEX(BD,,2),INDEX(BD,,9),""))</f>
        <v>0</v>
      </c>
      <c r="G125" s="4">
        <f t="array" aca="1" ref="G125" ca="1">MIN(IF(B125=INDEX(BD,,2),INDEX(BD,,9),0))</f>
        <v>0</v>
      </c>
    </row>
    <row r="126" spans="2:7" x14ac:dyDescent="0.3">
      <c r="B126" s="29">
        <v>44302</v>
      </c>
      <c r="C126" s="4">
        <f t="array" aca="1" ref="C126" ca="1">SUM(IF(B126=INDEX(BD,,2),INDEX(BD,,9),""))</f>
        <v>0</v>
      </c>
      <c r="D126" s="17">
        <f t="array" aca="1" ref="D126" ca="1">COUNT(IF(B126=INDEX(BD,,2),INDEX(BD,,9),""))</f>
        <v>0</v>
      </c>
      <c r="E126" s="4">
        <f t="array" aca="1" ref="E126" ca="1">IFERROR(AVERAGE(IF(B126=INDEX(BD,,2),INDEX(BD,,9),"")),0)</f>
        <v>0</v>
      </c>
      <c r="F126" s="4">
        <f t="array" aca="1" ref="F126" ca="1">MAX(IF(B126=INDEX(BD,,2),INDEX(BD,,9),""))</f>
        <v>0</v>
      </c>
      <c r="G126" s="4">
        <f t="array" aca="1" ref="G126" ca="1">MIN(IF(B126=INDEX(BD,,2),INDEX(BD,,9),0))</f>
        <v>0</v>
      </c>
    </row>
    <row r="127" spans="2:7" x14ac:dyDescent="0.3">
      <c r="B127" s="29">
        <v>44303</v>
      </c>
      <c r="C127" s="4">
        <f t="array" aca="1" ref="C127" ca="1">SUM(IF(B127=INDEX(BD,,2),INDEX(BD,,9),""))</f>
        <v>0</v>
      </c>
      <c r="D127" s="17">
        <f t="array" aca="1" ref="D127" ca="1">COUNT(IF(B127=INDEX(BD,,2),INDEX(BD,,9),""))</f>
        <v>0</v>
      </c>
      <c r="E127" s="4">
        <f t="array" aca="1" ref="E127" ca="1">IFERROR(AVERAGE(IF(B127=INDEX(BD,,2),INDEX(BD,,9),"")),0)</f>
        <v>0</v>
      </c>
      <c r="F127" s="4">
        <f t="array" aca="1" ref="F127" ca="1">MAX(IF(B127=INDEX(BD,,2),INDEX(BD,,9),""))</f>
        <v>0</v>
      </c>
      <c r="G127" s="4">
        <f t="array" aca="1" ref="G127" ca="1">MIN(IF(B127=INDEX(BD,,2),INDEX(BD,,9),0))</f>
        <v>0</v>
      </c>
    </row>
    <row r="128" spans="2:7" x14ac:dyDescent="0.3">
      <c r="B128" s="29">
        <v>44304</v>
      </c>
      <c r="C128" s="4">
        <f t="array" aca="1" ref="C128" ca="1">SUM(IF(B128=INDEX(BD,,2),INDEX(BD,,9),""))</f>
        <v>0</v>
      </c>
      <c r="D128" s="17">
        <f t="array" aca="1" ref="D128" ca="1">COUNT(IF(B128=INDEX(BD,,2),INDEX(BD,,9),""))</f>
        <v>0</v>
      </c>
      <c r="E128" s="4">
        <f t="array" aca="1" ref="E128" ca="1">IFERROR(AVERAGE(IF(B128=INDEX(BD,,2),INDEX(BD,,9),"")),0)</f>
        <v>0</v>
      </c>
      <c r="F128" s="4">
        <f t="array" aca="1" ref="F128" ca="1">MAX(IF(B128=INDEX(BD,,2),INDEX(BD,,9),""))</f>
        <v>0</v>
      </c>
      <c r="G128" s="4">
        <f t="array" aca="1" ref="G128" ca="1">MIN(IF(B128=INDEX(BD,,2),INDEX(BD,,9),0))</f>
        <v>0</v>
      </c>
    </row>
    <row r="129" spans="2:7" x14ac:dyDescent="0.3">
      <c r="B129" s="29">
        <v>44305</v>
      </c>
      <c r="C129" s="4">
        <f t="array" aca="1" ref="C129" ca="1">SUM(IF(B129=INDEX(BD,,2),INDEX(BD,,9),""))</f>
        <v>0</v>
      </c>
      <c r="D129" s="17">
        <f t="array" aca="1" ref="D129" ca="1">COUNT(IF(B129=INDEX(BD,,2),INDEX(BD,,9),""))</f>
        <v>0</v>
      </c>
      <c r="E129" s="4">
        <f t="array" aca="1" ref="E129" ca="1">IFERROR(AVERAGE(IF(B129=INDEX(BD,,2),INDEX(BD,,9),"")),0)</f>
        <v>0</v>
      </c>
      <c r="F129" s="4">
        <f t="array" aca="1" ref="F129" ca="1">MAX(IF(B129=INDEX(BD,,2),INDEX(BD,,9),""))</f>
        <v>0</v>
      </c>
      <c r="G129" s="4">
        <f t="array" aca="1" ref="G129" ca="1">MIN(IF(B129=INDEX(BD,,2),INDEX(BD,,9),0))</f>
        <v>0</v>
      </c>
    </row>
    <row r="130" spans="2:7" x14ac:dyDescent="0.3">
      <c r="B130" s="29">
        <v>44306</v>
      </c>
      <c r="C130" s="4">
        <f t="array" aca="1" ref="C130" ca="1">SUM(IF(B130=INDEX(BD,,2),INDEX(BD,,9),""))</f>
        <v>0</v>
      </c>
      <c r="D130" s="17">
        <f t="array" aca="1" ref="D130" ca="1">COUNT(IF(B130=INDEX(BD,,2),INDEX(BD,,9),""))</f>
        <v>0</v>
      </c>
      <c r="E130" s="4">
        <f t="array" aca="1" ref="E130" ca="1">IFERROR(AVERAGE(IF(B130=INDEX(BD,,2),INDEX(BD,,9),"")),0)</f>
        <v>0</v>
      </c>
      <c r="F130" s="4">
        <f t="array" aca="1" ref="F130" ca="1">MAX(IF(B130=INDEX(BD,,2),INDEX(BD,,9),""))</f>
        <v>0</v>
      </c>
      <c r="G130" s="4">
        <f t="array" aca="1" ref="G130" ca="1">MIN(IF(B130=INDEX(BD,,2),INDEX(BD,,9),0))</f>
        <v>0</v>
      </c>
    </row>
    <row r="131" spans="2:7" x14ac:dyDescent="0.3">
      <c r="B131" s="29">
        <v>44307</v>
      </c>
      <c r="C131" s="4">
        <f t="array" aca="1" ref="C131" ca="1">SUM(IF(B131=INDEX(BD,,2),INDEX(BD,,9),""))</f>
        <v>0</v>
      </c>
      <c r="D131" s="17">
        <f t="array" aca="1" ref="D131" ca="1">COUNT(IF(B131=INDEX(BD,,2),INDEX(BD,,9),""))</f>
        <v>0</v>
      </c>
      <c r="E131" s="4">
        <f t="array" aca="1" ref="E131" ca="1">IFERROR(AVERAGE(IF(B131=INDEX(BD,,2),INDEX(BD,,9),"")),0)</f>
        <v>0</v>
      </c>
      <c r="F131" s="4">
        <f t="array" aca="1" ref="F131" ca="1">MAX(IF(B131=INDEX(BD,,2),INDEX(BD,,9),""))</f>
        <v>0</v>
      </c>
      <c r="G131" s="4">
        <f t="array" aca="1" ref="G131" ca="1">MIN(IF(B131=INDEX(BD,,2),INDEX(BD,,9),0))</f>
        <v>0</v>
      </c>
    </row>
    <row r="132" spans="2:7" x14ac:dyDescent="0.3">
      <c r="B132" s="29">
        <v>44308</v>
      </c>
      <c r="C132" s="4">
        <f t="array" aca="1" ref="C132" ca="1">SUM(IF(B132=INDEX(BD,,2),INDEX(BD,,9),""))</f>
        <v>0</v>
      </c>
      <c r="D132" s="17">
        <f t="array" aca="1" ref="D132" ca="1">COUNT(IF(B132=INDEX(BD,,2),INDEX(BD,,9),""))</f>
        <v>0</v>
      </c>
      <c r="E132" s="4">
        <f t="array" aca="1" ref="E132" ca="1">IFERROR(AVERAGE(IF(B132=INDEX(BD,,2),INDEX(BD,,9),"")),0)</f>
        <v>0</v>
      </c>
      <c r="F132" s="4">
        <f t="array" aca="1" ref="F132" ca="1">MAX(IF(B132=INDEX(BD,,2),INDEX(BD,,9),""))</f>
        <v>0</v>
      </c>
      <c r="G132" s="4">
        <f t="array" aca="1" ref="G132" ca="1">MIN(IF(B132=INDEX(BD,,2),INDEX(BD,,9),0))</f>
        <v>0</v>
      </c>
    </row>
    <row r="133" spans="2:7" x14ac:dyDescent="0.3">
      <c r="B133" s="29">
        <v>44309</v>
      </c>
      <c r="C133" s="4">
        <f t="array" aca="1" ref="C133" ca="1">SUM(IF(B133=INDEX(BD,,2),INDEX(BD,,9),""))</f>
        <v>0</v>
      </c>
      <c r="D133" s="17">
        <f t="array" aca="1" ref="D133" ca="1">COUNT(IF(B133=INDEX(BD,,2),INDEX(BD,,9),""))</f>
        <v>0</v>
      </c>
      <c r="E133" s="4">
        <f t="array" aca="1" ref="E133" ca="1">IFERROR(AVERAGE(IF(B133=INDEX(BD,,2),INDEX(BD,,9),"")),0)</f>
        <v>0</v>
      </c>
      <c r="F133" s="4">
        <f t="array" aca="1" ref="F133" ca="1">MAX(IF(B133=INDEX(BD,,2),INDEX(BD,,9),""))</f>
        <v>0</v>
      </c>
      <c r="G133" s="4">
        <f t="array" aca="1" ref="G133" ca="1">MIN(IF(B133=INDEX(BD,,2),INDEX(BD,,9),0))</f>
        <v>0</v>
      </c>
    </row>
    <row r="134" spans="2:7" x14ac:dyDescent="0.3">
      <c r="B134" s="29">
        <v>44310</v>
      </c>
      <c r="C134" s="4">
        <f t="array" aca="1" ref="C134" ca="1">SUM(IF(B134=INDEX(BD,,2),INDEX(BD,,9),""))</f>
        <v>0</v>
      </c>
      <c r="D134" s="17">
        <f t="array" aca="1" ref="D134" ca="1">COUNT(IF(B134=INDEX(BD,,2),INDEX(BD,,9),""))</f>
        <v>0</v>
      </c>
      <c r="E134" s="4">
        <f t="array" aca="1" ref="E134" ca="1">IFERROR(AVERAGE(IF(B134=INDEX(BD,,2),INDEX(BD,,9),"")),0)</f>
        <v>0</v>
      </c>
      <c r="F134" s="4">
        <f t="array" aca="1" ref="F134" ca="1">MAX(IF(B134=INDEX(BD,,2),INDEX(BD,,9),""))</f>
        <v>0</v>
      </c>
      <c r="G134" s="4">
        <f t="array" aca="1" ref="G134" ca="1">MIN(IF(B134=INDEX(BD,,2),INDEX(BD,,9),0))</f>
        <v>0</v>
      </c>
    </row>
    <row r="135" spans="2:7" x14ac:dyDescent="0.3">
      <c r="B135" s="29">
        <v>44311</v>
      </c>
      <c r="C135" s="4">
        <f t="array" aca="1" ref="C135" ca="1">SUM(IF(B135=INDEX(BD,,2),INDEX(BD,,9),""))</f>
        <v>0</v>
      </c>
      <c r="D135" s="17">
        <f t="array" aca="1" ref="D135" ca="1">COUNT(IF(B135=INDEX(BD,,2),INDEX(BD,,9),""))</f>
        <v>0</v>
      </c>
      <c r="E135" s="4">
        <f t="array" aca="1" ref="E135" ca="1">IFERROR(AVERAGE(IF(B135=INDEX(BD,,2),INDEX(BD,,9),"")),0)</f>
        <v>0</v>
      </c>
      <c r="F135" s="4">
        <f t="array" aca="1" ref="F135" ca="1">MAX(IF(B135=INDEX(BD,,2),INDEX(BD,,9),""))</f>
        <v>0</v>
      </c>
      <c r="G135" s="4">
        <f t="array" aca="1" ref="G135" ca="1">MIN(IF(B135=INDEX(BD,,2),INDEX(BD,,9),0))</f>
        <v>0</v>
      </c>
    </row>
    <row r="136" spans="2:7" x14ac:dyDescent="0.3">
      <c r="B136" s="29">
        <v>44312</v>
      </c>
      <c r="C136" s="4">
        <f t="array" aca="1" ref="C136" ca="1">SUM(IF(B136=INDEX(BD,,2),INDEX(BD,,9),""))</f>
        <v>0</v>
      </c>
      <c r="D136" s="17">
        <f t="array" aca="1" ref="D136" ca="1">COUNT(IF(B136=INDEX(BD,,2),INDEX(BD,,9),""))</f>
        <v>0</v>
      </c>
      <c r="E136" s="4">
        <f t="array" aca="1" ref="E136" ca="1">IFERROR(AVERAGE(IF(B136=INDEX(BD,,2),INDEX(BD,,9),"")),0)</f>
        <v>0</v>
      </c>
      <c r="F136" s="4">
        <f t="array" aca="1" ref="F136" ca="1">MAX(IF(B136=INDEX(BD,,2),INDEX(BD,,9),""))</f>
        <v>0</v>
      </c>
      <c r="G136" s="4">
        <f t="array" aca="1" ref="G136" ca="1">MIN(IF(B136=INDEX(BD,,2),INDEX(BD,,9),0))</f>
        <v>0</v>
      </c>
    </row>
    <row r="137" spans="2:7" x14ac:dyDescent="0.3">
      <c r="B137" s="29">
        <v>44313</v>
      </c>
      <c r="C137" s="4">
        <f t="array" aca="1" ref="C137" ca="1">SUM(IF(B137=INDEX(BD,,2),INDEX(BD,,9),""))</f>
        <v>0</v>
      </c>
      <c r="D137" s="17">
        <f t="array" aca="1" ref="D137" ca="1">COUNT(IF(B137=INDEX(BD,,2),INDEX(BD,,9),""))</f>
        <v>0</v>
      </c>
      <c r="E137" s="4">
        <f t="array" aca="1" ref="E137" ca="1">IFERROR(AVERAGE(IF(B137=INDEX(BD,,2),INDEX(BD,,9),"")),0)</f>
        <v>0</v>
      </c>
      <c r="F137" s="4">
        <f t="array" aca="1" ref="F137" ca="1">MAX(IF(B137=INDEX(BD,,2),INDEX(BD,,9),""))</f>
        <v>0</v>
      </c>
      <c r="G137" s="4">
        <f t="array" aca="1" ref="G137" ca="1">MIN(IF(B137=INDEX(BD,,2),INDEX(BD,,9),0))</f>
        <v>0</v>
      </c>
    </row>
    <row r="138" spans="2:7" x14ac:dyDescent="0.3">
      <c r="B138" s="29">
        <v>44314</v>
      </c>
      <c r="C138" s="4">
        <f t="array" aca="1" ref="C138" ca="1">SUM(IF(B138=INDEX(BD,,2),INDEX(BD,,9),""))</f>
        <v>0</v>
      </c>
      <c r="D138" s="17">
        <f t="array" aca="1" ref="D138" ca="1">COUNT(IF(B138=INDEX(BD,,2),INDEX(BD,,9),""))</f>
        <v>0</v>
      </c>
      <c r="E138" s="4">
        <f t="array" aca="1" ref="E138" ca="1">IFERROR(AVERAGE(IF(B138=INDEX(BD,,2),INDEX(BD,,9),"")),0)</f>
        <v>0</v>
      </c>
      <c r="F138" s="4">
        <f t="array" aca="1" ref="F138" ca="1">MAX(IF(B138=INDEX(BD,,2),INDEX(BD,,9),""))</f>
        <v>0</v>
      </c>
      <c r="G138" s="4">
        <f t="array" aca="1" ref="G138" ca="1">MIN(IF(B138=INDEX(BD,,2),INDEX(BD,,9),0))</f>
        <v>0</v>
      </c>
    </row>
    <row r="139" spans="2:7" x14ac:dyDescent="0.3">
      <c r="B139" s="29">
        <v>44315</v>
      </c>
      <c r="C139" s="4">
        <f t="array" aca="1" ref="C139" ca="1">SUM(IF(B139=INDEX(BD,,2),INDEX(BD,,9),""))</f>
        <v>0</v>
      </c>
      <c r="D139" s="17">
        <f t="array" aca="1" ref="D139" ca="1">COUNT(IF(B139=INDEX(BD,,2),INDEX(BD,,9),""))</f>
        <v>0</v>
      </c>
      <c r="E139" s="4">
        <f t="array" aca="1" ref="E139" ca="1">IFERROR(AVERAGE(IF(B139=INDEX(BD,,2),INDEX(BD,,9),"")),0)</f>
        <v>0</v>
      </c>
      <c r="F139" s="4">
        <f t="array" aca="1" ref="F139" ca="1">MAX(IF(B139=INDEX(BD,,2),INDEX(BD,,9),""))</f>
        <v>0</v>
      </c>
      <c r="G139" s="4">
        <f t="array" aca="1" ref="G139" ca="1">MIN(IF(B139=INDEX(BD,,2),INDEX(BD,,9),0))</f>
        <v>0</v>
      </c>
    </row>
    <row r="140" spans="2:7" x14ac:dyDescent="0.3">
      <c r="B140" s="29">
        <v>44316</v>
      </c>
      <c r="C140" s="4">
        <f t="array" aca="1" ref="C140" ca="1">SUM(IF(B140=INDEX(BD,,2),INDEX(BD,,9),""))</f>
        <v>0</v>
      </c>
      <c r="D140" s="17">
        <f t="array" aca="1" ref="D140" ca="1">COUNT(IF(B140=INDEX(BD,,2),INDEX(BD,,9),""))</f>
        <v>0</v>
      </c>
      <c r="E140" s="4">
        <f t="array" aca="1" ref="E140" ca="1">IFERROR(AVERAGE(IF(B140=INDEX(BD,,2),INDEX(BD,,9),"")),0)</f>
        <v>0</v>
      </c>
      <c r="F140" s="4">
        <f t="array" aca="1" ref="F140" ca="1">MAX(IF(B140=INDEX(BD,,2),INDEX(BD,,9),""))</f>
        <v>0</v>
      </c>
      <c r="G140" s="4">
        <f t="array" aca="1" ref="G140" ca="1">MIN(IF(B140=INDEX(BD,,2),INDEX(BD,,9),0))</f>
        <v>0</v>
      </c>
    </row>
    <row r="141" spans="2:7" x14ac:dyDescent="0.3">
      <c r="B141" s="29">
        <v>44317</v>
      </c>
      <c r="C141" s="4">
        <f t="array" aca="1" ref="C141" ca="1">SUM(IF(B141=INDEX(BD,,2),INDEX(BD,,9),""))</f>
        <v>0</v>
      </c>
      <c r="D141" s="17">
        <f t="array" aca="1" ref="D141" ca="1">COUNT(IF(B141=INDEX(BD,,2),INDEX(BD,,9),""))</f>
        <v>0</v>
      </c>
      <c r="E141" s="4">
        <f t="array" aca="1" ref="E141" ca="1">IFERROR(AVERAGE(IF(B141=INDEX(BD,,2),INDEX(BD,,9),"")),0)</f>
        <v>0</v>
      </c>
      <c r="F141" s="4">
        <f t="array" aca="1" ref="F141" ca="1">MAX(IF(B141=INDEX(BD,,2),INDEX(BD,,9),""))</f>
        <v>0</v>
      </c>
      <c r="G141" s="4">
        <f t="array" aca="1" ref="G141" ca="1">MIN(IF(B141=INDEX(BD,,2),INDEX(BD,,9),0))</f>
        <v>0</v>
      </c>
    </row>
    <row r="142" spans="2:7" x14ac:dyDescent="0.3">
      <c r="B142" s="29">
        <v>44318</v>
      </c>
      <c r="C142" s="4">
        <f t="array" aca="1" ref="C142" ca="1">SUM(IF(B142=INDEX(BD,,2),INDEX(BD,,9),""))</f>
        <v>0</v>
      </c>
      <c r="D142" s="17">
        <f t="array" aca="1" ref="D142" ca="1">COUNT(IF(B142=INDEX(BD,,2),INDEX(BD,,9),""))</f>
        <v>0</v>
      </c>
      <c r="E142" s="4">
        <f t="array" aca="1" ref="E142" ca="1">IFERROR(AVERAGE(IF(B142=INDEX(BD,,2),INDEX(BD,,9),"")),0)</f>
        <v>0</v>
      </c>
      <c r="F142" s="4">
        <f t="array" aca="1" ref="F142" ca="1">MAX(IF(B142=INDEX(BD,,2),INDEX(BD,,9),""))</f>
        <v>0</v>
      </c>
      <c r="G142" s="4">
        <f t="array" aca="1" ref="G142" ca="1">MIN(IF(B142=INDEX(BD,,2),INDEX(BD,,9),0))</f>
        <v>0</v>
      </c>
    </row>
    <row r="143" spans="2:7" x14ac:dyDescent="0.3">
      <c r="B143" s="29">
        <v>44319</v>
      </c>
      <c r="C143" s="4">
        <f t="array" aca="1" ref="C143" ca="1">SUM(IF(B143=INDEX(BD,,2),INDEX(BD,,9),""))</f>
        <v>0</v>
      </c>
      <c r="D143" s="17">
        <f t="array" aca="1" ref="D143" ca="1">COUNT(IF(B143=INDEX(BD,,2),INDEX(BD,,9),""))</f>
        <v>0</v>
      </c>
      <c r="E143" s="4">
        <f t="array" aca="1" ref="E143" ca="1">IFERROR(AVERAGE(IF(B143=INDEX(BD,,2),INDEX(BD,,9),"")),0)</f>
        <v>0</v>
      </c>
      <c r="F143" s="4">
        <f t="array" aca="1" ref="F143" ca="1">MAX(IF(B143=INDEX(BD,,2),INDEX(BD,,9),""))</f>
        <v>0</v>
      </c>
      <c r="G143" s="4">
        <f t="array" aca="1" ref="G143" ca="1">MIN(IF(B143=INDEX(BD,,2),INDEX(BD,,9),0))</f>
        <v>0</v>
      </c>
    </row>
    <row r="144" spans="2:7" x14ac:dyDescent="0.3">
      <c r="B144" s="29">
        <v>44320</v>
      </c>
      <c r="C144" s="4">
        <f t="array" aca="1" ref="C144" ca="1">SUM(IF(B144=INDEX(BD,,2),INDEX(BD,,9),""))</f>
        <v>0</v>
      </c>
      <c r="D144" s="17">
        <f t="array" aca="1" ref="D144" ca="1">COUNT(IF(B144=INDEX(BD,,2),INDEX(BD,,9),""))</f>
        <v>0</v>
      </c>
      <c r="E144" s="4">
        <f t="array" aca="1" ref="E144" ca="1">IFERROR(AVERAGE(IF(B144=INDEX(BD,,2),INDEX(BD,,9),"")),0)</f>
        <v>0</v>
      </c>
      <c r="F144" s="4">
        <f t="array" aca="1" ref="F144" ca="1">MAX(IF(B144=INDEX(BD,,2),INDEX(BD,,9),""))</f>
        <v>0</v>
      </c>
      <c r="G144" s="4">
        <f t="array" aca="1" ref="G144" ca="1">MIN(IF(B144=INDEX(BD,,2),INDEX(BD,,9),0))</f>
        <v>0</v>
      </c>
    </row>
    <row r="145" spans="2:7" x14ac:dyDescent="0.3">
      <c r="B145" s="29">
        <v>44321</v>
      </c>
      <c r="C145" s="4">
        <f t="array" aca="1" ref="C145" ca="1">SUM(IF(B145=INDEX(BD,,2),INDEX(BD,,9),""))</f>
        <v>0</v>
      </c>
      <c r="D145" s="17">
        <f t="array" aca="1" ref="D145" ca="1">COUNT(IF(B145=INDEX(BD,,2),INDEX(BD,,9),""))</f>
        <v>0</v>
      </c>
      <c r="E145" s="4">
        <f t="array" aca="1" ref="E145" ca="1">IFERROR(AVERAGE(IF(B145=INDEX(BD,,2),INDEX(BD,,9),"")),0)</f>
        <v>0</v>
      </c>
      <c r="F145" s="4">
        <f t="array" aca="1" ref="F145" ca="1">MAX(IF(B145=INDEX(BD,,2),INDEX(BD,,9),""))</f>
        <v>0</v>
      </c>
      <c r="G145" s="4">
        <f t="array" aca="1" ref="G145" ca="1">MIN(IF(B145=INDEX(BD,,2),INDEX(BD,,9),0))</f>
        <v>0</v>
      </c>
    </row>
    <row r="146" spans="2:7" x14ac:dyDescent="0.3">
      <c r="B146" s="29">
        <v>44322</v>
      </c>
      <c r="C146" s="4">
        <f t="array" aca="1" ref="C146" ca="1">SUM(IF(B146=INDEX(BD,,2),INDEX(BD,,9),""))</f>
        <v>0</v>
      </c>
      <c r="D146" s="17">
        <f t="array" aca="1" ref="D146" ca="1">COUNT(IF(B146=INDEX(BD,,2),INDEX(BD,,9),""))</f>
        <v>0</v>
      </c>
      <c r="E146" s="4">
        <f t="array" aca="1" ref="E146" ca="1">IFERROR(AVERAGE(IF(B146=INDEX(BD,,2),INDEX(BD,,9),"")),0)</f>
        <v>0</v>
      </c>
      <c r="F146" s="4">
        <f t="array" aca="1" ref="F146" ca="1">MAX(IF(B146=INDEX(BD,,2),INDEX(BD,,9),""))</f>
        <v>0</v>
      </c>
      <c r="G146" s="4">
        <f t="array" aca="1" ref="G146" ca="1">MIN(IF(B146=INDEX(BD,,2),INDEX(BD,,9),0))</f>
        <v>0</v>
      </c>
    </row>
    <row r="147" spans="2:7" x14ac:dyDescent="0.3">
      <c r="B147" s="29">
        <v>44323</v>
      </c>
      <c r="C147" s="4">
        <f t="array" aca="1" ref="C147" ca="1">SUM(IF(B147=INDEX(BD,,2),INDEX(BD,,9),""))</f>
        <v>0</v>
      </c>
      <c r="D147" s="17">
        <f t="array" aca="1" ref="D147" ca="1">COUNT(IF(B147=INDEX(BD,,2),INDEX(BD,,9),""))</f>
        <v>0</v>
      </c>
      <c r="E147" s="4">
        <f t="array" aca="1" ref="E147" ca="1">IFERROR(AVERAGE(IF(B147=INDEX(BD,,2),INDEX(BD,,9),"")),0)</f>
        <v>0</v>
      </c>
      <c r="F147" s="4">
        <f t="array" aca="1" ref="F147" ca="1">MAX(IF(B147=INDEX(BD,,2),INDEX(BD,,9),""))</f>
        <v>0</v>
      </c>
      <c r="G147" s="4">
        <f t="array" aca="1" ref="G147" ca="1">MIN(IF(B147=INDEX(BD,,2),INDEX(BD,,9),0))</f>
        <v>0</v>
      </c>
    </row>
    <row r="148" spans="2:7" x14ac:dyDescent="0.3">
      <c r="B148" s="29">
        <v>44324</v>
      </c>
      <c r="C148" s="4">
        <f t="array" aca="1" ref="C148" ca="1">SUM(IF(B148=INDEX(BD,,2),INDEX(BD,,9),""))</f>
        <v>0</v>
      </c>
      <c r="D148" s="17">
        <f t="array" aca="1" ref="D148" ca="1">COUNT(IF(B148=INDEX(BD,,2),INDEX(BD,,9),""))</f>
        <v>0</v>
      </c>
      <c r="E148" s="4">
        <f t="array" aca="1" ref="E148" ca="1">IFERROR(AVERAGE(IF(B148=INDEX(BD,,2),INDEX(BD,,9),"")),0)</f>
        <v>0</v>
      </c>
      <c r="F148" s="4">
        <f t="array" aca="1" ref="F148" ca="1">MAX(IF(B148=INDEX(BD,,2),INDEX(BD,,9),""))</f>
        <v>0</v>
      </c>
      <c r="G148" s="4">
        <f t="array" aca="1" ref="G148" ca="1">MIN(IF(B148=INDEX(BD,,2),INDEX(BD,,9),0))</f>
        <v>0</v>
      </c>
    </row>
    <row r="149" spans="2:7" x14ac:dyDescent="0.3">
      <c r="B149" s="29">
        <v>44325</v>
      </c>
      <c r="C149" s="4">
        <f t="array" aca="1" ref="C149" ca="1">SUM(IF(B149=INDEX(BD,,2),INDEX(BD,,9),""))</f>
        <v>0</v>
      </c>
      <c r="D149" s="17">
        <f t="array" aca="1" ref="D149" ca="1">COUNT(IF(B149=INDEX(BD,,2),INDEX(BD,,9),""))</f>
        <v>0</v>
      </c>
      <c r="E149" s="4">
        <f t="array" aca="1" ref="E149" ca="1">IFERROR(AVERAGE(IF(B149=INDEX(BD,,2),INDEX(BD,,9),"")),0)</f>
        <v>0</v>
      </c>
      <c r="F149" s="4">
        <f t="array" aca="1" ref="F149" ca="1">MAX(IF(B149=INDEX(BD,,2),INDEX(BD,,9),""))</f>
        <v>0</v>
      </c>
      <c r="G149" s="4">
        <f t="array" aca="1" ref="G149" ca="1">MIN(IF(B149=INDEX(BD,,2),INDEX(BD,,9),0))</f>
        <v>0</v>
      </c>
    </row>
    <row r="150" spans="2:7" x14ac:dyDescent="0.3">
      <c r="B150" s="29">
        <v>44326</v>
      </c>
      <c r="C150" s="4">
        <f t="array" aca="1" ref="C150" ca="1">SUM(IF(B150=INDEX(BD,,2),INDEX(BD,,9),""))</f>
        <v>0</v>
      </c>
      <c r="D150" s="17">
        <f t="array" aca="1" ref="D150" ca="1">COUNT(IF(B150=INDEX(BD,,2),INDEX(BD,,9),""))</f>
        <v>0</v>
      </c>
      <c r="E150" s="4">
        <f t="array" aca="1" ref="E150" ca="1">IFERROR(AVERAGE(IF(B150=INDEX(BD,,2),INDEX(BD,,9),"")),0)</f>
        <v>0</v>
      </c>
      <c r="F150" s="4">
        <f t="array" aca="1" ref="F150" ca="1">MAX(IF(B150=INDEX(BD,,2),INDEX(BD,,9),""))</f>
        <v>0</v>
      </c>
      <c r="G150" s="4">
        <f t="array" aca="1" ref="G150" ca="1">MIN(IF(B150=INDEX(BD,,2),INDEX(BD,,9),0))</f>
        <v>0</v>
      </c>
    </row>
    <row r="151" spans="2:7" x14ac:dyDescent="0.3">
      <c r="B151" s="29">
        <v>44327</v>
      </c>
      <c r="C151" s="4">
        <f t="array" aca="1" ref="C151" ca="1">SUM(IF(B151=INDEX(BD,,2),INDEX(BD,,9),""))</f>
        <v>0</v>
      </c>
      <c r="D151" s="17">
        <f t="array" aca="1" ref="D151" ca="1">COUNT(IF(B151=INDEX(BD,,2),INDEX(BD,,9),""))</f>
        <v>0</v>
      </c>
      <c r="E151" s="4">
        <f t="array" aca="1" ref="E151" ca="1">IFERROR(AVERAGE(IF(B151=INDEX(BD,,2),INDEX(BD,,9),"")),0)</f>
        <v>0</v>
      </c>
      <c r="F151" s="4">
        <f t="array" aca="1" ref="F151" ca="1">MAX(IF(B151=INDEX(BD,,2),INDEX(BD,,9),""))</f>
        <v>0</v>
      </c>
      <c r="G151" s="4">
        <f t="array" aca="1" ref="G151" ca="1">MIN(IF(B151=INDEX(BD,,2),INDEX(BD,,9),0))</f>
        <v>0</v>
      </c>
    </row>
    <row r="152" spans="2:7" x14ac:dyDescent="0.3">
      <c r="B152" s="29">
        <v>44328</v>
      </c>
      <c r="C152" s="4">
        <f t="array" aca="1" ref="C152" ca="1">SUM(IF(B152=INDEX(BD,,2),INDEX(BD,,9),""))</f>
        <v>0</v>
      </c>
      <c r="D152" s="17">
        <f t="array" aca="1" ref="D152" ca="1">COUNT(IF(B152=INDEX(BD,,2),INDEX(BD,,9),""))</f>
        <v>0</v>
      </c>
      <c r="E152" s="4">
        <f t="array" aca="1" ref="E152" ca="1">IFERROR(AVERAGE(IF(B152=INDEX(BD,,2),INDEX(BD,,9),"")),0)</f>
        <v>0</v>
      </c>
      <c r="F152" s="4">
        <f t="array" aca="1" ref="F152" ca="1">MAX(IF(B152=INDEX(BD,,2),INDEX(BD,,9),""))</f>
        <v>0</v>
      </c>
      <c r="G152" s="4">
        <f t="array" aca="1" ref="G152" ca="1">MIN(IF(B152=INDEX(BD,,2),INDEX(BD,,9),0))</f>
        <v>0</v>
      </c>
    </row>
    <row r="153" spans="2:7" x14ac:dyDescent="0.3">
      <c r="B153" s="29">
        <v>44329</v>
      </c>
      <c r="C153" s="4">
        <f t="array" aca="1" ref="C153" ca="1">SUM(IF(B153=INDEX(BD,,2),INDEX(BD,,9),""))</f>
        <v>0</v>
      </c>
      <c r="D153" s="17">
        <f t="array" aca="1" ref="D153" ca="1">COUNT(IF(B153=INDEX(BD,,2),INDEX(BD,,9),""))</f>
        <v>0</v>
      </c>
      <c r="E153" s="4">
        <f t="array" aca="1" ref="E153" ca="1">IFERROR(AVERAGE(IF(B153=INDEX(BD,,2),INDEX(BD,,9),"")),0)</f>
        <v>0</v>
      </c>
      <c r="F153" s="4">
        <f t="array" aca="1" ref="F153" ca="1">MAX(IF(B153=INDEX(BD,,2),INDEX(BD,,9),""))</f>
        <v>0</v>
      </c>
      <c r="G153" s="4">
        <f t="array" aca="1" ref="G153" ca="1">MIN(IF(B153=INDEX(BD,,2),INDEX(BD,,9),0))</f>
        <v>0</v>
      </c>
    </row>
    <row r="154" spans="2:7" x14ac:dyDescent="0.3">
      <c r="B154" s="29">
        <v>44330</v>
      </c>
      <c r="C154" s="4">
        <f t="array" aca="1" ref="C154" ca="1">SUM(IF(B154=INDEX(BD,,2),INDEX(BD,,9),""))</f>
        <v>0</v>
      </c>
      <c r="D154" s="17">
        <f t="array" aca="1" ref="D154" ca="1">COUNT(IF(B154=INDEX(BD,,2),INDEX(BD,,9),""))</f>
        <v>0</v>
      </c>
      <c r="E154" s="4">
        <f t="array" aca="1" ref="E154" ca="1">IFERROR(AVERAGE(IF(B154=INDEX(BD,,2),INDEX(BD,,9),"")),0)</f>
        <v>0</v>
      </c>
      <c r="F154" s="4">
        <f t="array" aca="1" ref="F154" ca="1">MAX(IF(B154=INDEX(BD,,2),INDEX(BD,,9),""))</f>
        <v>0</v>
      </c>
      <c r="G154" s="4">
        <f t="array" aca="1" ref="G154" ca="1">MIN(IF(B154=INDEX(BD,,2),INDEX(BD,,9),0))</f>
        <v>0</v>
      </c>
    </row>
    <row r="155" spans="2:7" x14ac:dyDescent="0.3">
      <c r="B155" s="29">
        <v>44331</v>
      </c>
      <c r="C155" s="4">
        <f t="array" aca="1" ref="C155" ca="1">SUM(IF(B155=INDEX(BD,,2),INDEX(BD,,9),""))</f>
        <v>0</v>
      </c>
      <c r="D155" s="17">
        <f t="array" aca="1" ref="D155" ca="1">COUNT(IF(B155=INDEX(BD,,2),INDEX(BD,,9),""))</f>
        <v>0</v>
      </c>
      <c r="E155" s="4">
        <f t="array" aca="1" ref="E155" ca="1">IFERROR(AVERAGE(IF(B155=INDEX(BD,,2),INDEX(BD,,9),"")),0)</f>
        <v>0</v>
      </c>
      <c r="F155" s="4">
        <f t="array" aca="1" ref="F155" ca="1">MAX(IF(B155=INDEX(BD,,2),INDEX(BD,,9),""))</f>
        <v>0</v>
      </c>
      <c r="G155" s="4">
        <f t="array" aca="1" ref="G155" ca="1">MIN(IF(B155=INDEX(BD,,2),INDEX(BD,,9),0))</f>
        <v>0</v>
      </c>
    </row>
    <row r="156" spans="2:7" x14ac:dyDescent="0.3">
      <c r="B156" s="29">
        <v>44332</v>
      </c>
      <c r="C156" s="4">
        <f t="array" aca="1" ref="C156" ca="1">SUM(IF(B156=INDEX(BD,,2),INDEX(BD,,9),""))</f>
        <v>0</v>
      </c>
      <c r="D156" s="17">
        <f t="array" aca="1" ref="D156" ca="1">COUNT(IF(B156=INDEX(BD,,2),INDEX(BD,,9),""))</f>
        <v>0</v>
      </c>
      <c r="E156" s="4">
        <f t="array" aca="1" ref="E156" ca="1">IFERROR(AVERAGE(IF(B156=INDEX(BD,,2),INDEX(BD,,9),"")),0)</f>
        <v>0</v>
      </c>
      <c r="F156" s="4">
        <f t="array" aca="1" ref="F156" ca="1">MAX(IF(B156=INDEX(BD,,2),INDEX(BD,,9),""))</f>
        <v>0</v>
      </c>
      <c r="G156" s="4">
        <f t="array" aca="1" ref="G156" ca="1">MIN(IF(B156=INDEX(BD,,2),INDEX(BD,,9),0))</f>
        <v>0</v>
      </c>
    </row>
    <row r="157" spans="2:7" x14ac:dyDescent="0.3">
      <c r="B157" s="29">
        <v>44333</v>
      </c>
      <c r="C157" s="4">
        <f t="array" aca="1" ref="C157" ca="1">SUM(IF(B157=INDEX(BD,,2),INDEX(BD,,9),""))</f>
        <v>0</v>
      </c>
      <c r="D157" s="17">
        <f t="array" aca="1" ref="D157" ca="1">COUNT(IF(B157=INDEX(BD,,2),INDEX(BD,,9),""))</f>
        <v>0</v>
      </c>
      <c r="E157" s="4">
        <f t="array" aca="1" ref="E157" ca="1">IFERROR(AVERAGE(IF(B157=INDEX(BD,,2),INDEX(BD,,9),"")),0)</f>
        <v>0</v>
      </c>
      <c r="F157" s="4">
        <f t="array" aca="1" ref="F157" ca="1">MAX(IF(B157=INDEX(BD,,2),INDEX(BD,,9),""))</f>
        <v>0</v>
      </c>
      <c r="G157" s="4">
        <f t="array" aca="1" ref="G157" ca="1">MIN(IF(B157=INDEX(BD,,2),INDEX(BD,,9),0))</f>
        <v>0</v>
      </c>
    </row>
    <row r="158" spans="2:7" x14ac:dyDescent="0.3">
      <c r="B158" s="29">
        <v>44334</v>
      </c>
      <c r="C158" s="4">
        <f t="array" aca="1" ref="C158" ca="1">SUM(IF(B158=INDEX(BD,,2),INDEX(BD,,9),""))</f>
        <v>0</v>
      </c>
      <c r="D158" s="17">
        <f t="array" aca="1" ref="D158" ca="1">COUNT(IF(B158=INDEX(BD,,2),INDEX(BD,,9),""))</f>
        <v>0</v>
      </c>
      <c r="E158" s="4">
        <f t="array" aca="1" ref="E158" ca="1">IFERROR(AVERAGE(IF(B158=INDEX(BD,,2),INDEX(BD,,9),"")),0)</f>
        <v>0</v>
      </c>
      <c r="F158" s="4">
        <f t="array" aca="1" ref="F158" ca="1">MAX(IF(B158=INDEX(BD,,2),INDEX(BD,,9),""))</f>
        <v>0</v>
      </c>
      <c r="G158" s="4">
        <f t="array" aca="1" ref="G158" ca="1">MIN(IF(B158=INDEX(BD,,2),INDEX(BD,,9),0))</f>
        <v>0</v>
      </c>
    </row>
    <row r="159" spans="2:7" x14ac:dyDescent="0.3">
      <c r="B159" s="29">
        <v>44335</v>
      </c>
      <c r="C159" s="4">
        <f t="array" aca="1" ref="C159" ca="1">SUM(IF(B159=INDEX(BD,,2),INDEX(BD,,9),""))</f>
        <v>0</v>
      </c>
      <c r="D159" s="17">
        <f t="array" aca="1" ref="D159" ca="1">COUNT(IF(B159=INDEX(BD,,2),INDEX(BD,,9),""))</f>
        <v>0</v>
      </c>
      <c r="E159" s="4">
        <f t="array" aca="1" ref="E159" ca="1">IFERROR(AVERAGE(IF(B159=INDEX(BD,,2),INDEX(BD,,9),"")),0)</f>
        <v>0</v>
      </c>
      <c r="F159" s="4">
        <f t="array" aca="1" ref="F159" ca="1">MAX(IF(B159=INDEX(BD,,2),INDEX(BD,,9),""))</f>
        <v>0</v>
      </c>
      <c r="G159" s="4">
        <f t="array" aca="1" ref="G159" ca="1">MIN(IF(B159=INDEX(BD,,2),INDEX(BD,,9),0))</f>
        <v>0</v>
      </c>
    </row>
    <row r="160" spans="2:7" x14ac:dyDescent="0.3">
      <c r="B160" s="29">
        <v>44336</v>
      </c>
      <c r="C160" s="4">
        <f t="array" aca="1" ref="C160" ca="1">SUM(IF(B160=INDEX(BD,,2),INDEX(BD,,9),""))</f>
        <v>0</v>
      </c>
      <c r="D160" s="17">
        <f t="array" aca="1" ref="D160" ca="1">COUNT(IF(B160=INDEX(BD,,2),INDEX(BD,,9),""))</f>
        <v>0</v>
      </c>
      <c r="E160" s="4">
        <f t="array" aca="1" ref="E160" ca="1">IFERROR(AVERAGE(IF(B160=INDEX(BD,,2),INDEX(BD,,9),"")),0)</f>
        <v>0</v>
      </c>
      <c r="F160" s="4">
        <f t="array" aca="1" ref="F160" ca="1">MAX(IF(B160=INDEX(BD,,2),INDEX(BD,,9),""))</f>
        <v>0</v>
      </c>
      <c r="G160" s="4">
        <f t="array" aca="1" ref="G160" ca="1">MIN(IF(B160=INDEX(BD,,2),INDEX(BD,,9),0))</f>
        <v>0</v>
      </c>
    </row>
    <row r="161" spans="2:7" x14ac:dyDescent="0.3">
      <c r="B161" s="29">
        <v>44337</v>
      </c>
      <c r="C161" s="4">
        <f t="array" aca="1" ref="C161" ca="1">SUM(IF(B161=INDEX(BD,,2),INDEX(BD,,9),""))</f>
        <v>0</v>
      </c>
      <c r="D161" s="17">
        <f t="array" aca="1" ref="D161" ca="1">COUNT(IF(B161=INDEX(BD,,2),INDEX(BD,,9),""))</f>
        <v>0</v>
      </c>
      <c r="E161" s="4">
        <f t="array" aca="1" ref="E161" ca="1">IFERROR(AVERAGE(IF(B161=INDEX(BD,,2),INDEX(BD,,9),"")),0)</f>
        <v>0</v>
      </c>
      <c r="F161" s="4">
        <f t="array" aca="1" ref="F161" ca="1">MAX(IF(B161=INDEX(BD,,2),INDEX(BD,,9),""))</f>
        <v>0</v>
      </c>
      <c r="G161" s="4">
        <f t="array" aca="1" ref="G161" ca="1">MIN(IF(B161=INDEX(BD,,2),INDEX(BD,,9),0))</f>
        <v>0</v>
      </c>
    </row>
    <row r="162" spans="2:7" x14ac:dyDescent="0.3">
      <c r="B162" s="29">
        <v>44338</v>
      </c>
      <c r="C162" s="4">
        <f t="array" aca="1" ref="C162" ca="1">SUM(IF(B162=INDEX(BD,,2),INDEX(BD,,9),""))</f>
        <v>0</v>
      </c>
      <c r="D162" s="17">
        <f t="array" aca="1" ref="D162" ca="1">COUNT(IF(B162=INDEX(BD,,2),INDEX(BD,,9),""))</f>
        <v>0</v>
      </c>
      <c r="E162" s="4">
        <f t="array" aca="1" ref="E162" ca="1">IFERROR(AVERAGE(IF(B162=INDEX(BD,,2),INDEX(BD,,9),"")),0)</f>
        <v>0</v>
      </c>
      <c r="F162" s="4">
        <f t="array" aca="1" ref="F162" ca="1">MAX(IF(B162=INDEX(BD,,2),INDEX(BD,,9),""))</f>
        <v>0</v>
      </c>
      <c r="G162" s="4">
        <f t="array" aca="1" ref="G162" ca="1">MIN(IF(B162=INDEX(BD,,2),INDEX(BD,,9),0))</f>
        <v>0</v>
      </c>
    </row>
    <row r="163" spans="2:7" x14ac:dyDescent="0.3">
      <c r="B163" s="29">
        <v>44339</v>
      </c>
      <c r="C163" s="4">
        <f t="array" aca="1" ref="C163" ca="1">SUM(IF(B163=INDEX(BD,,2),INDEX(BD,,9),""))</f>
        <v>0</v>
      </c>
      <c r="D163" s="17">
        <f t="array" aca="1" ref="D163" ca="1">COUNT(IF(B163=INDEX(BD,,2),INDEX(BD,,9),""))</f>
        <v>0</v>
      </c>
      <c r="E163" s="4">
        <f t="array" aca="1" ref="E163" ca="1">IFERROR(AVERAGE(IF(B163=INDEX(BD,,2),INDEX(BD,,9),"")),0)</f>
        <v>0</v>
      </c>
      <c r="F163" s="4">
        <f t="array" aca="1" ref="F163" ca="1">MAX(IF(B163=INDEX(BD,,2),INDEX(BD,,9),""))</f>
        <v>0</v>
      </c>
      <c r="G163" s="4">
        <f t="array" aca="1" ref="G163" ca="1">MIN(IF(B163=INDEX(BD,,2),INDEX(BD,,9),0))</f>
        <v>0</v>
      </c>
    </row>
    <row r="164" spans="2:7" x14ac:dyDescent="0.3">
      <c r="B164" s="29">
        <v>44340</v>
      </c>
      <c r="C164" s="4">
        <f t="array" aca="1" ref="C164" ca="1">SUM(IF(B164=INDEX(BD,,2),INDEX(BD,,9),""))</f>
        <v>0</v>
      </c>
      <c r="D164" s="17">
        <f t="array" aca="1" ref="D164" ca="1">COUNT(IF(B164=INDEX(BD,,2),INDEX(BD,,9),""))</f>
        <v>0</v>
      </c>
      <c r="E164" s="4">
        <f t="array" aca="1" ref="E164" ca="1">IFERROR(AVERAGE(IF(B164=INDEX(BD,,2),INDEX(BD,,9),"")),0)</f>
        <v>0</v>
      </c>
      <c r="F164" s="4">
        <f t="array" aca="1" ref="F164" ca="1">MAX(IF(B164=INDEX(BD,,2),INDEX(BD,,9),""))</f>
        <v>0</v>
      </c>
      <c r="G164" s="4">
        <f t="array" aca="1" ref="G164" ca="1">MIN(IF(B164=INDEX(BD,,2),INDEX(BD,,9),0))</f>
        <v>0</v>
      </c>
    </row>
    <row r="165" spans="2:7" x14ac:dyDescent="0.3">
      <c r="B165" s="29">
        <v>44341</v>
      </c>
      <c r="C165" s="4">
        <f t="array" aca="1" ref="C165" ca="1">SUM(IF(B165=INDEX(BD,,2),INDEX(BD,,9),""))</f>
        <v>0</v>
      </c>
      <c r="D165" s="17">
        <f t="array" aca="1" ref="D165" ca="1">COUNT(IF(B165=INDEX(BD,,2),INDEX(BD,,9),""))</f>
        <v>0</v>
      </c>
      <c r="E165" s="4">
        <f t="array" aca="1" ref="E165" ca="1">IFERROR(AVERAGE(IF(B165=INDEX(BD,,2),INDEX(BD,,9),"")),0)</f>
        <v>0</v>
      </c>
      <c r="F165" s="4">
        <f t="array" aca="1" ref="F165" ca="1">MAX(IF(B165=INDEX(BD,,2),INDEX(BD,,9),""))</f>
        <v>0</v>
      </c>
      <c r="G165" s="4">
        <f t="array" aca="1" ref="G165" ca="1">MIN(IF(B165=INDEX(BD,,2),INDEX(BD,,9),0))</f>
        <v>0</v>
      </c>
    </row>
    <row r="166" spans="2:7" x14ac:dyDescent="0.3">
      <c r="B166" s="29">
        <v>44342</v>
      </c>
      <c r="C166" s="4">
        <f t="array" aca="1" ref="C166" ca="1">SUM(IF(B166=INDEX(BD,,2),INDEX(BD,,9),""))</f>
        <v>0</v>
      </c>
      <c r="D166" s="17">
        <f t="array" aca="1" ref="D166" ca="1">COUNT(IF(B166=INDEX(BD,,2),INDEX(BD,,9),""))</f>
        <v>0</v>
      </c>
      <c r="E166" s="4">
        <f t="array" aca="1" ref="E166" ca="1">IFERROR(AVERAGE(IF(B166=INDEX(BD,,2),INDEX(BD,,9),"")),0)</f>
        <v>0</v>
      </c>
      <c r="F166" s="4">
        <f t="array" aca="1" ref="F166" ca="1">MAX(IF(B166=INDEX(BD,,2),INDEX(BD,,9),""))</f>
        <v>0</v>
      </c>
      <c r="G166" s="4">
        <f t="array" aca="1" ref="G166" ca="1">MIN(IF(B166=INDEX(BD,,2),INDEX(BD,,9),0))</f>
        <v>0</v>
      </c>
    </row>
    <row r="167" spans="2:7" x14ac:dyDescent="0.3">
      <c r="B167" s="29">
        <v>44343</v>
      </c>
      <c r="C167" s="4">
        <f t="array" aca="1" ref="C167" ca="1">SUM(IF(B167=INDEX(BD,,2),INDEX(BD,,9),""))</f>
        <v>0</v>
      </c>
      <c r="D167" s="17">
        <f t="array" aca="1" ref="D167" ca="1">COUNT(IF(B167=INDEX(BD,,2),INDEX(BD,,9),""))</f>
        <v>0</v>
      </c>
      <c r="E167" s="4">
        <f t="array" aca="1" ref="E167" ca="1">IFERROR(AVERAGE(IF(B167=INDEX(BD,,2),INDEX(BD,,9),"")),0)</f>
        <v>0</v>
      </c>
      <c r="F167" s="4">
        <f t="array" aca="1" ref="F167" ca="1">MAX(IF(B167=INDEX(BD,,2),INDEX(BD,,9),""))</f>
        <v>0</v>
      </c>
      <c r="G167" s="4">
        <f t="array" aca="1" ref="G167" ca="1">MIN(IF(B167=INDEX(BD,,2),INDEX(BD,,9),0))</f>
        <v>0</v>
      </c>
    </row>
    <row r="168" spans="2:7" x14ac:dyDescent="0.3">
      <c r="B168" s="29">
        <v>44344</v>
      </c>
      <c r="C168" s="4">
        <f t="array" aca="1" ref="C168" ca="1">SUM(IF(B168=INDEX(BD,,2),INDEX(BD,,9),""))</f>
        <v>0</v>
      </c>
      <c r="D168" s="17">
        <f t="array" aca="1" ref="D168" ca="1">COUNT(IF(B168=INDEX(BD,,2),INDEX(BD,,9),""))</f>
        <v>0</v>
      </c>
      <c r="E168" s="4">
        <f t="array" aca="1" ref="E168" ca="1">IFERROR(AVERAGE(IF(B168=INDEX(BD,,2),INDEX(BD,,9),"")),0)</f>
        <v>0</v>
      </c>
      <c r="F168" s="4">
        <f t="array" aca="1" ref="F168" ca="1">MAX(IF(B168=INDEX(BD,,2),INDEX(BD,,9),""))</f>
        <v>0</v>
      </c>
      <c r="G168" s="4">
        <f t="array" aca="1" ref="G168" ca="1">MIN(IF(B168=INDEX(BD,,2),INDEX(BD,,9),0))</f>
        <v>0</v>
      </c>
    </row>
    <row r="169" spans="2:7" x14ac:dyDescent="0.3">
      <c r="B169" s="29">
        <v>44345</v>
      </c>
      <c r="C169" s="4">
        <f t="array" aca="1" ref="C169" ca="1">SUM(IF(B169=INDEX(BD,,2),INDEX(BD,,9),""))</f>
        <v>0</v>
      </c>
      <c r="D169" s="17">
        <f t="array" aca="1" ref="D169" ca="1">COUNT(IF(B169=INDEX(BD,,2),INDEX(BD,,9),""))</f>
        <v>0</v>
      </c>
      <c r="E169" s="4">
        <f t="array" aca="1" ref="E169" ca="1">IFERROR(AVERAGE(IF(B169=INDEX(BD,,2),INDEX(BD,,9),"")),0)</f>
        <v>0</v>
      </c>
      <c r="F169" s="4">
        <f t="array" aca="1" ref="F169" ca="1">MAX(IF(B169=INDEX(BD,,2),INDEX(BD,,9),""))</f>
        <v>0</v>
      </c>
      <c r="G169" s="4">
        <f t="array" aca="1" ref="G169" ca="1">MIN(IF(B169=INDEX(BD,,2),INDEX(BD,,9),0))</f>
        <v>0</v>
      </c>
    </row>
    <row r="170" spans="2:7" x14ac:dyDescent="0.3">
      <c r="B170" s="29">
        <v>44346</v>
      </c>
      <c r="C170" s="4">
        <f t="array" aca="1" ref="C170" ca="1">SUM(IF(B170=INDEX(BD,,2),INDEX(BD,,9),""))</f>
        <v>0</v>
      </c>
      <c r="D170" s="17">
        <f t="array" aca="1" ref="D170" ca="1">COUNT(IF(B170=INDEX(BD,,2),INDEX(BD,,9),""))</f>
        <v>0</v>
      </c>
      <c r="E170" s="4">
        <f t="array" aca="1" ref="E170" ca="1">IFERROR(AVERAGE(IF(B170=INDEX(BD,,2),INDEX(BD,,9),"")),0)</f>
        <v>0</v>
      </c>
      <c r="F170" s="4">
        <f t="array" aca="1" ref="F170" ca="1">MAX(IF(B170=INDEX(BD,,2),INDEX(BD,,9),""))</f>
        <v>0</v>
      </c>
      <c r="G170" s="4">
        <f t="array" aca="1" ref="G170" ca="1">MIN(IF(B170=INDEX(BD,,2),INDEX(BD,,9),0))</f>
        <v>0</v>
      </c>
    </row>
    <row r="171" spans="2:7" x14ac:dyDescent="0.3">
      <c r="B171" s="29">
        <v>44347</v>
      </c>
      <c r="C171" s="4">
        <f t="array" aca="1" ref="C171" ca="1">SUM(IF(B171=INDEX(BD,,2),INDEX(BD,,9),""))</f>
        <v>0</v>
      </c>
      <c r="D171" s="17">
        <f t="array" aca="1" ref="D171" ca="1">COUNT(IF(B171=INDEX(BD,,2),INDEX(BD,,9),""))</f>
        <v>0</v>
      </c>
      <c r="E171" s="4">
        <f t="array" aca="1" ref="E171" ca="1">IFERROR(AVERAGE(IF(B171=INDEX(BD,,2),INDEX(BD,,9),"")),0)</f>
        <v>0</v>
      </c>
      <c r="F171" s="4">
        <f t="array" aca="1" ref="F171" ca="1">MAX(IF(B171=INDEX(BD,,2),INDEX(BD,,9),""))</f>
        <v>0</v>
      </c>
      <c r="G171" s="4">
        <f t="array" aca="1" ref="G171" ca="1">MIN(IF(B171=INDEX(BD,,2),INDEX(BD,,9),0))</f>
        <v>0</v>
      </c>
    </row>
    <row r="172" spans="2:7" x14ac:dyDescent="0.3">
      <c r="B172" s="29">
        <v>44348</v>
      </c>
      <c r="C172" s="4">
        <f t="array" aca="1" ref="C172" ca="1">SUM(IF(B172=INDEX(BD,,2),INDEX(BD,,9),""))</f>
        <v>96.666666666666686</v>
      </c>
      <c r="D172" s="17">
        <f t="array" aca="1" ref="D172" ca="1">COUNT(IF(B172=INDEX(BD,,2),INDEX(BD,,9),""))</f>
        <v>1</v>
      </c>
      <c r="E172" s="4">
        <f t="array" aca="1" ref="E172" ca="1">IFERROR(AVERAGE(IF(B172=INDEX(BD,,2),INDEX(BD,,9),"")),0)</f>
        <v>96.666666666666686</v>
      </c>
      <c r="F172" s="4">
        <f t="array" aca="1" ref="F172" ca="1">MAX(IF(B172=INDEX(BD,,2),INDEX(BD,,9),""))</f>
        <v>96.666666666666686</v>
      </c>
      <c r="G172" s="4">
        <f t="array" aca="1" ref="G172" ca="1">MIN(IF(B172=INDEX(BD,,2),INDEX(BD,,9),0))</f>
        <v>0</v>
      </c>
    </row>
    <row r="173" spans="2:7" x14ac:dyDescent="0.3">
      <c r="B173" s="29">
        <v>44349</v>
      </c>
      <c r="C173" s="4">
        <f t="array" aca="1" ref="C173" ca="1">SUM(IF(B173=INDEX(BD,,2),INDEX(BD,,9),""))</f>
        <v>219.33333333333329</v>
      </c>
      <c r="D173" s="17">
        <f t="array" aca="1" ref="D173" ca="1">COUNT(IF(B173=INDEX(BD,,2),INDEX(BD,,9),""))</f>
        <v>2</v>
      </c>
      <c r="E173" s="4">
        <f t="array" aca="1" ref="E173" ca="1">IFERROR(AVERAGE(IF(B173=INDEX(BD,,2),INDEX(BD,,9),"")),0)</f>
        <v>109.66666666666664</v>
      </c>
      <c r="F173" s="4">
        <f t="array" aca="1" ref="F173" ca="1">MAX(IF(B173=INDEX(BD,,2),INDEX(BD,,9),""))</f>
        <v>133.33333333333331</v>
      </c>
      <c r="G173" s="4">
        <f t="array" aca="1" ref="G173" ca="1">MIN(IF(B173=INDEX(BD,,2),INDEX(BD,,9),0))</f>
        <v>0</v>
      </c>
    </row>
    <row r="174" spans="2:7" x14ac:dyDescent="0.3">
      <c r="B174" s="29">
        <v>44350</v>
      </c>
      <c r="C174" s="4">
        <f t="array" aca="1" ref="C174" ca="1">SUM(IF(B174=INDEX(BD,,2),INDEX(BD,,9),""))</f>
        <v>151.75</v>
      </c>
      <c r="D174" s="17">
        <f t="array" aca="1" ref="D174" ca="1">COUNT(IF(B174=INDEX(BD,,2),INDEX(BD,,9),""))</f>
        <v>2</v>
      </c>
      <c r="E174" s="4">
        <f t="array" aca="1" ref="E174" ca="1">IFERROR(AVERAGE(IF(B174=INDEX(BD,,2),INDEX(BD,,9),"")),0)</f>
        <v>75.875</v>
      </c>
      <c r="F174" s="4">
        <f t="array" aca="1" ref="F174" ca="1">MAX(IF(B174=INDEX(BD,,2),INDEX(BD,,9),""))</f>
        <v>115.75000000000003</v>
      </c>
      <c r="G174" s="4">
        <f t="array" aca="1" ref="G174" ca="1">MIN(IF(B174=INDEX(BD,,2),INDEX(BD,,9),0))</f>
        <v>0</v>
      </c>
    </row>
    <row r="175" spans="2:7" x14ac:dyDescent="0.3">
      <c r="B175" s="29">
        <v>44351</v>
      </c>
      <c r="C175" s="4">
        <f t="array" aca="1" ref="C175" ca="1">SUM(IF(B175=INDEX(BD,,2),INDEX(BD,,9),""))</f>
        <v>271.5</v>
      </c>
      <c r="D175" s="17">
        <f t="array" aca="1" ref="D175" ca="1">COUNT(IF(B175=INDEX(BD,,2),INDEX(BD,,9),""))</f>
        <v>3</v>
      </c>
      <c r="E175" s="4">
        <f t="array" aca="1" ref="E175" ca="1">IFERROR(AVERAGE(IF(B175=INDEX(BD,,2),INDEX(BD,,9),"")),0)</f>
        <v>90.5</v>
      </c>
      <c r="F175" s="4">
        <f t="array" aca="1" ref="F175" ca="1">MAX(IF(B175=INDEX(BD,,2),INDEX(BD,,9),""))</f>
        <v>128.00000000000003</v>
      </c>
      <c r="G175" s="4">
        <f t="array" aca="1" ref="G175" ca="1">MIN(IF(B175=INDEX(BD,,2),INDEX(BD,,9),0))</f>
        <v>0</v>
      </c>
    </row>
    <row r="176" spans="2:7" x14ac:dyDescent="0.3">
      <c r="B176" s="29">
        <v>44352</v>
      </c>
      <c r="C176" s="4">
        <f t="array" aca="1" ref="C176" ca="1">SUM(IF(B176=INDEX(BD,,2),INDEX(BD,,9),""))</f>
        <v>81.249999999999943</v>
      </c>
      <c r="D176" s="17">
        <f t="array" aca="1" ref="D176" ca="1">COUNT(IF(B176=INDEX(BD,,2),INDEX(BD,,9),""))</f>
        <v>2</v>
      </c>
      <c r="E176" s="4">
        <f t="array" aca="1" ref="E176" ca="1">IFERROR(AVERAGE(IF(B176=INDEX(BD,,2),INDEX(BD,,9),"")),0)</f>
        <v>40.624999999999972</v>
      </c>
      <c r="F176" s="4">
        <f t="array" aca="1" ref="F176" ca="1">MAX(IF(B176=INDEX(BD,,2),INDEX(BD,,9),""))</f>
        <v>50.999999999999957</v>
      </c>
      <c r="G176" s="4">
        <f t="array" aca="1" ref="G176" ca="1">MIN(IF(B176=INDEX(BD,,2),INDEX(BD,,9),0))</f>
        <v>0</v>
      </c>
    </row>
    <row r="177" spans="2:7" x14ac:dyDescent="0.3">
      <c r="B177" s="29">
        <v>44353</v>
      </c>
      <c r="C177" s="4">
        <f t="array" aca="1" ref="C177" ca="1">SUM(IF(B177=INDEX(BD,,2),INDEX(BD,,9),""))</f>
        <v>0</v>
      </c>
      <c r="D177" s="17">
        <f t="array" aca="1" ref="D177" ca="1">COUNT(IF(B177=INDEX(BD,,2),INDEX(BD,,9),""))</f>
        <v>0</v>
      </c>
      <c r="E177" s="4">
        <f t="array" aca="1" ref="E177" ca="1">IFERROR(AVERAGE(IF(B177=INDEX(BD,,2),INDEX(BD,,9),"")),0)</f>
        <v>0</v>
      </c>
      <c r="F177" s="4">
        <f t="array" aca="1" ref="F177" ca="1">MAX(IF(B177=INDEX(BD,,2),INDEX(BD,,9),""))</f>
        <v>0</v>
      </c>
      <c r="G177" s="4">
        <f t="array" aca="1" ref="G177" ca="1">MIN(IF(B177=INDEX(BD,,2),INDEX(BD,,9),0))</f>
        <v>0</v>
      </c>
    </row>
    <row r="178" spans="2:7" x14ac:dyDescent="0.3">
      <c r="B178" s="29">
        <v>44354</v>
      </c>
      <c r="C178" s="4">
        <f t="array" aca="1" ref="C178" ca="1">SUM(IF(B178=INDEX(BD,,2),INDEX(BD,,9),""))</f>
        <v>117.24999999999997</v>
      </c>
      <c r="D178" s="17">
        <f t="array" aca="1" ref="D178" ca="1">COUNT(IF(B178=INDEX(BD,,2),INDEX(BD,,9),""))</f>
        <v>2</v>
      </c>
      <c r="E178" s="4">
        <f t="array" aca="1" ref="E178" ca="1">IFERROR(AVERAGE(IF(B178=INDEX(BD,,2),INDEX(BD,,9),"")),0)</f>
        <v>58.624999999999986</v>
      </c>
      <c r="F178" s="4">
        <f t="array" aca="1" ref="F178" ca="1">MAX(IF(B178=INDEX(BD,,2),INDEX(BD,,9),""))</f>
        <v>62.249999999999979</v>
      </c>
      <c r="G178" s="4">
        <f t="array" aca="1" ref="G178" ca="1">MIN(IF(B178=INDEX(BD,,2),INDEX(BD,,9),0))</f>
        <v>0</v>
      </c>
    </row>
    <row r="179" spans="2:7" x14ac:dyDescent="0.3">
      <c r="B179" s="29">
        <v>44355</v>
      </c>
      <c r="C179" s="4">
        <f t="array" aca="1" ref="C179" ca="1">SUM(IF(B179=INDEX(BD,,2),INDEX(BD,,9),""))</f>
        <v>146.49999999999997</v>
      </c>
      <c r="D179" s="17">
        <f t="array" aca="1" ref="D179" ca="1">COUNT(IF(B179=INDEX(BD,,2),INDEX(BD,,9),""))</f>
        <v>2</v>
      </c>
      <c r="E179" s="4">
        <f t="array" aca="1" ref="E179" ca="1">IFERROR(AVERAGE(IF(B179=INDEX(BD,,2),INDEX(BD,,9),"")),0)</f>
        <v>73.249999999999986</v>
      </c>
      <c r="F179" s="4">
        <f t="array" aca="1" ref="F179" ca="1">MAX(IF(B179=INDEX(BD,,2),INDEX(BD,,9),""))</f>
        <v>103.74999999999999</v>
      </c>
      <c r="G179" s="4">
        <f t="array" aca="1" ref="G179" ca="1">MIN(IF(B179=INDEX(BD,,2),INDEX(BD,,9),0))</f>
        <v>0</v>
      </c>
    </row>
    <row r="180" spans="2:7" x14ac:dyDescent="0.3">
      <c r="B180" s="29">
        <v>44356</v>
      </c>
      <c r="C180" s="4">
        <f t="array" aca="1" ref="C180" ca="1">SUM(IF(B180=INDEX(BD,,2),INDEX(BD,,9),""))</f>
        <v>67.500000000000028</v>
      </c>
      <c r="D180" s="17">
        <f t="array" aca="1" ref="D180" ca="1">COUNT(IF(B180=INDEX(BD,,2),INDEX(BD,,9),""))</f>
        <v>1</v>
      </c>
      <c r="E180" s="4">
        <f t="array" aca="1" ref="E180" ca="1">IFERROR(AVERAGE(IF(B180=INDEX(BD,,2),INDEX(BD,,9),"")),0)</f>
        <v>67.500000000000028</v>
      </c>
      <c r="F180" s="4">
        <f t="array" aca="1" ref="F180" ca="1">MAX(IF(B180=INDEX(BD,,2),INDEX(BD,,9),""))</f>
        <v>67.500000000000028</v>
      </c>
      <c r="G180" s="4">
        <f t="array" aca="1" ref="G180" ca="1">MIN(IF(B180=INDEX(BD,,2),INDEX(BD,,9),0))</f>
        <v>0</v>
      </c>
    </row>
    <row r="181" spans="2:7" x14ac:dyDescent="0.3">
      <c r="B181" s="29">
        <v>44357</v>
      </c>
      <c r="C181" s="4">
        <f t="array" aca="1" ref="C181" ca="1">SUM(IF(B181=INDEX(BD,,2),INDEX(BD,,9),""))</f>
        <v>239.41666666666663</v>
      </c>
      <c r="D181" s="17">
        <f t="array" aca="1" ref="D181" ca="1">COUNT(IF(B181=INDEX(BD,,2),INDEX(BD,,9),""))</f>
        <v>3</v>
      </c>
      <c r="E181" s="4">
        <f t="array" aca="1" ref="E181" ca="1">IFERROR(AVERAGE(IF(B181=INDEX(BD,,2),INDEX(BD,,9),"")),0)</f>
        <v>79.805555555555543</v>
      </c>
      <c r="F181" s="4">
        <f t="array" aca="1" ref="F181" ca="1">MAX(IF(B181=INDEX(BD,,2),INDEX(BD,,9),""))</f>
        <v>101.66666666666664</v>
      </c>
      <c r="G181" s="4">
        <f t="array" aca="1" ref="G181" ca="1">MIN(IF(B181=INDEX(BD,,2),INDEX(BD,,9),0))</f>
        <v>0</v>
      </c>
    </row>
    <row r="182" spans="2:7" x14ac:dyDescent="0.3">
      <c r="B182" s="29">
        <v>44358</v>
      </c>
      <c r="C182" s="4">
        <f t="array" aca="1" ref="C182" ca="1">SUM(IF(B182=INDEX(BD,,2),INDEX(BD,,9),""))</f>
        <v>148.59999999999997</v>
      </c>
      <c r="D182" s="17">
        <f t="array" aca="1" ref="D182" ca="1">COUNT(IF(B182=INDEX(BD,,2),INDEX(BD,,9),""))</f>
        <v>2</v>
      </c>
      <c r="E182" s="4">
        <f t="array" aca="1" ref="E182" ca="1">IFERROR(AVERAGE(IF(B182=INDEX(BD,,2),INDEX(BD,,9),"")),0)</f>
        <v>74.299999999999983</v>
      </c>
      <c r="F182" s="4">
        <f t="array" aca="1" ref="F182" ca="1">MAX(IF(B182=INDEX(BD,,2),INDEX(BD,,9),""))</f>
        <v>98.999999999999972</v>
      </c>
      <c r="G182" s="4">
        <f t="array" aca="1" ref="G182" ca="1">MIN(IF(B182=INDEX(BD,,2),INDEX(BD,,9),0))</f>
        <v>0</v>
      </c>
    </row>
    <row r="183" spans="2:7" x14ac:dyDescent="0.3">
      <c r="B183" s="29">
        <v>44359</v>
      </c>
      <c r="C183" s="4">
        <f t="array" aca="1" ref="C183" ca="1">SUM(IF(B183=INDEX(BD,,2),INDEX(BD,,9),""))</f>
        <v>65.75</v>
      </c>
      <c r="D183" s="17">
        <f t="array" aca="1" ref="D183" ca="1">COUNT(IF(B183=INDEX(BD,,2),INDEX(BD,,9),""))</f>
        <v>1</v>
      </c>
      <c r="E183" s="4">
        <f t="array" aca="1" ref="E183" ca="1">IFERROR(AVERAGE(IF(B183=INDEX(BD,,2),INDEX(BD,,9),"")),0)</f>
        <v>65.75</v>
      </c>
      <c r="F183" s="4">
        <f t="array" aca="1" ref="F183" ca="1">MAX(IF(B183=INDEX(BD,,2),INDEX(BD,,9),""))</f>
        <v>65.75</v>
      </c>
      <c r="G183" s="4">
        <f t="array" aca="1" ref="G183" ca="1">MIN(IF(B183=INDEX(BD,,2),INDEX(BD,,9),0))</f>
        <v>0</v>
      </c>
    </row>
    <row r="184" spans="2:7" x14ac:dyDescent="0.3">
      <c r="B184" s="29">
        <v>44360</v>
      </c>
      <c r="C184" s="4">
        <f t="array" aca="1" ref="C184" ca="1">SUM(IF(B184=INDEX(BD,,2),INDEX(BD,,9),""))</f>
        <v>31.200000000000003</v>
      </c>
      <c r="D184" s="17">
        <f t="array" aca="1" ref="D184" ca="1">COUNT(IF(B184=INDEX(BD,,2),INDEX(BD,,9),""))</f>
        <v>1</v>
      </c>
      <c r="E184" s="4">
        <f t="array" aca="1" ref="E184" ca="1">IFERROR(AVERAGE(IF(B184=INDEX(BD,,2),INDEX(BD,,9),"")),0)</f>
        <v>31.200000000000003</v>
      </c>
      <c r="F184" s="4">
        <f t="array" aca="1" ref="F184" ca="1">MAX(IF(B184=INDEX(BD,,2),INDEX(BD,,9),""))</f>
        <v>31.200000000000003</v>
      </c>
      <c r="G184" s="4">
        <f t="array" aca="1" ref="G184" ca="1">MIN(IF(B184=INDEX(BD,,2),INDEX(BD,,9),0))</f>
        <v>0</v>
      </c>
    </row>
    <row r="185" spans="2:7" x14ac:dyDescent="0.3">
      <c r="B185" s="29">
        <v>44361</v>
      </c>
      <c r="C185" s="4">
        <f t="array" aca="1" ref="C185" ca="1">SUM(IF(B185=INDEX(BD,,2),INDEX(BD,,9),""))</f>
        <v>194</v>
      </c>
      <c r="D185" s="17">
        <f t="array" aca="1" ref="D185" ca="1">COUNT(IF(B185=INDEX(BD,,2),INDEX(BD,,9),""))</f>
        <v>3</v>
      </c>
      <c r="E185" s="4">
        <f t="array" aca="1" ref="E185" ca="1">IFERROR(AVERAGE(IF(B185=INDEX(BD,,2),INDEX(BD,,9),"")),0)</f>
        <v>64.666666666666671</v>
      </c>
      <c r="F185" s="4">
        <f t="array" aca="1" ref="F185" ca="1">MAX(IF(B185=INDEX(BD,,2),INDEX(BD,,9),""))</f>
        <v>92.666666666666686</v>
      </c>
      <c r="G185" s="4">
        <f t="array" aca="1" ref="G185" ca="1">MIN(IF(B185=INDEX(BD,,2),INDEX(BD,,9),0))</f>
        <v>0</v>
      </c>
    </row>
    <row r="186" spans="2:7" x14ac:dyDescent="0.3">
      <c r="B186" s="29">
        <v>44362</v>
      </c>
      <c r="C186" s="4">
        <f t="array" aca="1" ref="C186" ca="1">SUM(IF(B186=INDEX(BD,,2),INDEX(BD,,9),""))</f>
        <v>79.799999999999983</v>
      </c>
      <c r="D186" s="17">
        <f t="array" aca="1" ref="D186" ca="1">COUNT(IF(B186=INDEX(BD,,2),INDEX(BD,,9),""))</f>
        <v>1</v>
      </c>
      <c r="E186" s="4">
        <f t="array" aca="1" ref="E186" ca="1">IFERROR(AVERAGE(IF(B186=INDEX(BD,,2),INDEX(BD,,9),"")),0)</f>
        <v>79.799999999999983</v>
      </c>
      <c r="F186" s="4">
        <f t="array" aca="1" ref="F186" ca="1">MAX(IF(B186=INDEX(BD,,2),INDEX(BD,,9),""))</f>
        <v>79.799999999999983</v>
      </c>
      <c r="G186" s="4">
        <f t="array" aca="1" ref="G186" ca="1">MIN(IF(B186=INDEX(BD,,2),INDEX(BD,,9),0))</f>
        <v>0</v>
      </c>
    </row>
    <row r="187" spans="2:7" x14ac:dyDescent="0.3">
      <c r="B187" s="29">
        <v>44363</v>
      </c>
      <c r="C187" s="4">
        <f t="array" aca="1" ref="C187" ca="1">SUM(IF(B187=INDEX(BD,,2),INDEX(BD,,9),""))</f>
        <v>205.14999999999995</v>
      </c>
      <c r="D187" s="17">
        <f t="array" aca="1" ref="D187" ca="1">COUNT(IF(B187=INDEX(BD,,2),INDEX(BD,,9),""))</f>
        <v>4</v>
      </c>
      <c r="E187" s="4">
        <f t="array" aca="1" ref="E187" ca="1">IFERROR(AVERAGE(IF(B187=INDEX(BD,,2),INDEX(BD,,9),"")),0)</f>
        <v>51.287499999999987</v>
      </c>
      <c r="F187" s="4">
        <f t="array" aca="1" ref="F187" ca="1">MAX(IF(B187=INDEX(BD,,2),INDEX(BD,,9),""))</f>
        <v>68.399999999999991</v>
      </c>
      <c r="G187" s="4">
        <f t="array" aca="1" ref="G187" ca="1">MIN(IF(B187=INDEX(BD,,2),INDEX(BD,,9),0))</f>
        <v>0</v>
      </c>
    </row>
    <row r="188" spans="2:7" x14ac:dyDescent="0.3">
      <c r="B188" s="29">
        <v>44364</v>
      </c>
      <c r="C188" s="4">
        <f t="array" aca="1" ref="C188" ca="1">SUM(IF(B188=INDEX(BD,,2),INDEX(BD,,9),""))</f>
        <v>242.65000000000003</v>
      </c>
      <c r="D188" s="17">
        <f t="array" aca="1" ref="D188" ca="1">COUNT(IF(B188=INDEX(BD,,2),INDEX(BD,,9),""))</f>
        <v>4</v>
      </c>
      <c r="E188" s="4">
        <f t="array" aca="1" ref="E188" ca="1">IFERROR(AVERAGE(IF(B188=INDEX(BD,,2),INDEX(BD,,9),"")),0)</f>
        <v>60.662500000000009</v>
      </c>
      <c r="F188" s="4">
        <f t="array" aca="1" ref="F188" ca="1">MAX(IF(B188=INDEX(BD,,2),INDEX(BD,,9),""))</f>
        <v>94.4</v>
      </c>
      <c r="G188" s="4">
        <f t="array" aca="1" ref="G188" ca="1">MIN(IF(B188=INDEX(BD,,2),INDEX(BD,,9),0))</f>
        <v>0</v>
      </c>
    </row>
    <row r="189" spans="2:7" x14ac:dyDescent="0.3">
      <c r="B189" s="29">
        <v>44365</v>
      </c>
      <c r="C189" s="4">
        <f t="array" aca="1" ref="C189" ca="1">SUM(IF(B189=INDEX(BD,,2),INDEX(BD,,9),""))</f>
        <v>0</v>
      </c>
      <c r="D189" s="17">
        <f t="array" aca="1" ref="D189" ca="1">COUNT(IF(B189=INDEX(BD,,2),INDEX(BD,,9),""))</f>
        <v>0</v>
      </c>
      <c r="E189" s="4">
        <f t="array" aca="1" ref="E189" ca="1">IFERROR(AVERAGE(IF(B189=INDEX(BD,,2),INDEX(BD,,9),"")),0)</f>
        <v>0</v>
      </c>
      <c r="F189" s="4">
        <f t="array" aca="1" ref="F189" ca="1">MAX(IF(B189=INDEX(BD,,2),INDEX(BD,,9),""))</f>
        <v>0</v>
      </c>
      <c r="G189" s="4">
        <f t="array" aca="1" ref="G189" ca="1">MIN(IF(B189=INDEX(BD,,2),INDEX(BD,,9),0))</f>
        <v>0</v>
      </c>
    </row>
    <row r="190" spans="2:7" x14ac:dyDescent="0.3">
      <c r="B190" s="29">
        <v>44366</v>
      </c>
      <c r="C190" s="4">
        <f t="array" aca="1" ref="C190" ca="1">SUM(IF(B190=INDEX(BD,,2),INDEX(BD,,9),""))</f>
        <v>59.750000000000007</v>
      </c>
      <c r="D190" s="17">
        <f t="array" aca="1" ref="D190" ca="1">COUNT(IF(B190=INDEX(BD,,2),INDEX(BD,,9),""))</f>
        <v>2</v>
      </c>
      <c r="E190" s="4">
        <f t="array" aca="1" ref="E190" ca="1">IFERROR(AVERAGE(IF(B190=INDEX(BD,,2),INDEX(BD,,9),"")),0)</f>
        <v>29.875000000000004</v>
      </c>
      <c r="F190" s="4">
        <f t="array" aca="1" ref="F190" ca="1">MAX(IF(B190=INDEX(BD,,2),INDEX(BD,,9),""))</f>
        <v>30.750000000000011</v>
      </c>
      <c r="G190" s="4">
        <f t="array" aca="1" ref="G190" ca="1">MIN(IF(B190=INDEX(BD,,2),INDEX(BD,,9),0))</f>
        <v>0</v>
      </c>
    </row>
    <row r="191" spans="2:7" x14ac:dyDescent="0.3">
      <c r="B191" s="29">
        <v>44367</v>
      </c>
      <c r="C191" s="4">
        <f t="array" aca="1" ref="C191" ca="1">SUM(IF(B191=INDEX(BD,,2),INDEX(BD,,9),""))</f>
        <v>328.59999999999997</v>
      </c>
      <c r="D191" s="17">
        <f t="array" aca="1" ref="D191" ca="1">COUNT(IF(B191=INDEX(BD,,2),INDEX(BD,,9),""))</f>
        <v>5</v>
      </c>
      <c r="E191" s="4">
        <f t="array" aca="1" ref="E191" ca="1">IFERROR(AVERAGE(IF(B191=INDEX(BD,,2),INDEX(BD,,9),"")),0)</f>
        <v>65.72</v>
      </c>
      <c r="F191" s="4">
        <f t="array" aca="1" ref="F191" ca="1">MAX(IF(B191=INDEX(BD,,2),INDEX(BD,,9),""))</f>
        <v>100.33333333333331</v>
      </c>
      <c r="G191" s="4">
        <f t="array" aca="1" ref="G191" ca="1">MIN(IF(B191=INDEX(BD,,2),INDEX(BD,,9),0))</f>
        <v>0</v>
      </c>
    </row>
    <row r="192" spans="2:7" x14ac:dyDescent="0.3">
      <c r="B192" s="29">
        <v>44368</v>
      </c>
      <c r="C192" s="4">
        <f t="array" aca="1" ref="C192" ca="1">SUM(IF(B192=INDEX(BD,,2),INDEX(BD,,9),""))</f>
        <v>62.59999999999998</v>
      </c>
      <c r="D192" s="17">
        <f t="array" aca="1" ref="D192" ca="1">COUNT(IF(B192=INDEX(BD,,2),INDEX(BD,,9),""))</f>
        <v>1</v>
      </c>
      <c r="E192" s="4">
        <f t="array" aca="1" ref="E192" ca="1">IFERROR(AVERAGE(IF(B192=INDEX(BD,,2),INDEX(BD,,9),"")),0)</f>
        <v>62.59999999999998</v>
      </c>
      <c r="F192" s="4">
        <f t="array" aca="1" ref="F192" ca="1">MAX(IF(B192=INDEX(BD,,2),INDEX(BD,,9),""))</f>
        <v>62.59999999999998</v>
      </c>
      <c r="G192" s="4">
        <f t="array" aca="1" ref="G192" ca="1">MIN(IF(B192=INDEX(BD,,2),INDEX(BD,,9),0))</f>
        <v>0</v>
      </c>
    </row>
    <row r="193" spans="2:7" x14ac:dyDescent="0.3">
      <c r="B193" s="29">
        <v>44369</v>
      </c>
      <c r="C193" s="4">
        <f t="array" aca="1" ref="C193" ca="1">SUM(IF(B193=INDEX(BD,,2),INDEX(BD,,9),""))</f>
        <v>182.18333333333339</v>
      </c>
      <c r="D193" s="17">
        <f t="array" aca="1" ref="D193" ca="1">COUNT(IF(B193=INDEX(BD,,2),INDEX(BD,,9),""))</f>
        <v>5</v>
      </c>
      <c r="E193" s="4">
        <f t="array" aca="1" ref="E193" ca="1">IFERROR(AVERAGE(IF(B193=INDEX(BD,,2),INDEX(BD,,9),"")),0)</f>
        <v>36.436666666666682</v>
      </c>
      <c r="F193" s="4">
        <f t="array" aca="1" ref="F193" ca="1">MAX(IF(B193=INDEX(BD,,2),INDEX(BD,,9),""))</f>
        <v>84.250000000000014</v>
      </c>
      <c r="G193" s="4">
        <f t="array" aca="1" ref="G193" ca="1">MIN(IF(B193=INDEX(BD,,2),INDEX(BD,,9),0))</f>
        <v>0</v>
      </c>
    </row>
    <row r="194" spans="2:7" x14ac:dyDescent="0.3">
      <c r="B194" s="29">
        <v>44370</v>
      </c>
      <c r="C194" s="4">
        <f t="array" aca="1" ref="C194" ca="1">SUM(IF(B194=INDEX(BD,,2),INDEX(BD,,9),""))</f>
        <v>79.150000000000034</v>
      </c>
      <c r="D194" s="17">
        <f t="array" aca="1" ref="D194" ca="1">COUNT(IF(B194=INDEX(BD,,2),INDEX(BD,,9),""))</f>
        <v>2</v>
      </c>
      <c r="E194" s="4">
        <f t="array" aca="1" ref="E194" ca="1">IFERROR(AVERAGE(IF(B194=INDEX(BD,,2),INDEX(BD,,9),"")),0)</f>
        <v>39.575000000000017</v>
      </c>
      <c r="F194" s="4">
        <f t="array" aca="1" ref="F194" ca="1">MAX(IF(B194=INDEX(BD,,2),INDEX(BD,,9),""))</f>
        <v>56.400000000000013</v>
      </c>
      <c r="G194" s="4">
        <f t="array" aca="1" ref="G194" ca="1">MIN(IF(B194=INDEX(BD,,2),INDEX(BD,,9),0))</f>
        <v>0</v>
      </c>
    </row>
    <row r="195" spans="2:7" x14ac:dyDescent="0.3">
      <c r="B195" s="29">
        <v>44371</v>
      </c>
      <c r="C195" s="4">
        <f t="array" aca="1" ref="C195" ca="1">SUM(IF(B195=INDEX(BD,,2),INDEX(BD,,9),""))</f>
        <v>226.33333333333334</v>
      </c>
      <c r="D195" s="17">
        <f t="array" aca="1" ref="D195" ca="1">COUNT(IF(B195=INDEX(BD,,2),INDEX(BD,,9),""))</f>
        <v>2</v>
      </c>
      <c r="E195" s="4">
        <f t="array" aca="1" ref="E195" ca="1">IFERROR(AVERAGE(IF(B195=INDEX(BD,,2),INDEX(BD,,9),"")),0)</f>
        <v>113.16666666666667</v>
      </c>
      <c r="F195" s="4">
        <f t="array" aca="1" ref="F195" ca="1">MAX(IF(B195=INDEX(BD,,2),INDEX(BD,,9),""))</f>
        <v>128.33333333333331</v>
      </c>
      <c r="G195" s="4">
        <f t="array" aca="1" ref="G195" ca="1">MIN(IF(B195=INDEX(BD,,2),INDEX(BD,,9),0))</f>
        <v>0</v>
      </c>
    </row>
    <row r="196" spans="2:7" x14ac:dyDescent="0.3">
      <c r="B196" s="29">
        <v>44372</v>
      </c>
      <c r="C196" s="4">
        <f t="array" aca="1" ref="C196" ca="1">SUM(IF(B196=INDEX(BD,,2),INDEX(BD,,9),""))</f>
        <v>17.000000000000004</v>
      </c>
      <c r="D196" s="17">
        <f t="array" aca="1" ref="D196" ca="1">COUNT(IF(B196=INDEX(BD,,2),INDEX(BD,,9),""))</f>
        <v>1</v>
      </c>
      <c r="E196" s="4">
        <f t="array" aca="1" ref="E196" ca="1">IFERROR(AVERAGE(IF(B196=INDEX(BD,,2),INDEX(BD,,9),"")),0)</f>
        <v>17.000000000000004</v>
      </c>
      <c r="F196" s="4">
        <f t="array" aca="1" ref="F196" ca="1">MAX(IF(B196=INDEX(BD,,2),INDEX(BD,,9),""))</f>
        <v>17.000000000000004</v>
      </c>
      <c r="G196" s="4">
        <f t="array" aca="1" ref="G196" ca="1">MIN(IF(B196=INDEX(BD,,2),INDEX(BD,,9),0))</f>
        <v>0</v>
      </c>
    </row>
    <row r="197" spans="2:7" x14ac:dyDescent="0.3">
      <c r="B197" s="29">
        <v>44373</v>
      </c>
      <c r="C197" s="4">
        <f t="array" aca="1" ref="C197" ca="1">SUM(IF(B197=INDEX(BD,,2),INDEX(BD,,9),""))</f>
        <v>114.79999999999998</v>
      </c>
      <c r="D197" s="17">
        <f t="array" aca="1" ref="D197" ca="1">COUNT(IF(B197=INDEX(BD,,2),INDEX(BD,,9),""))</f>
        <v>2</v>
      </c>
      <c r="E197" s="4">
        <f t="array" aca="1" ref="E197" ca="1">IFERROR(AVERAGE(IF(B197=INDEX(BD,,2),INDEX(BD,,9),"")),0)</f>
        <v>57.399999999999991</v>
      </c>
      <c r="F197" s="4">
        <f t="array" aca="1" ref="F197" ca="1">MAX(IF(B197=INDEX(BD,,2),INDEX(BD,,9),""))</f>
        <v>73.399999999999977</v>
      </c>
      <c r="G197" s="4">
        <f t="array" aca="1" ref="G197" ca="1">MIN(IF(B197=INDEX(BD,,2),INDEX(BD,,9),0))</f>
        <v>0</v>
      </c>
    </row>
    <row r="198" spans="2:7" x14ac:dyDescent="0.3">
      <c r="B198" s="29">
        <v>44374</v>
      </c>
      <c r="C198" s="4">
        <f t="array" aca="1" ref="C198" ca="1">SUM(IF(B198=INDEX(BD,,2),INDEX(BD,,9),""))</f>
        <v>325.2833333333333</v>
      </c>
      <c r="D198" s="17">
        <f t="array" aca="1" ref="D198" ca="1">COUNT(IF(B198=INDEX(BD,,2),INDEX(BD,,9),""))</f>
        <v>4</v>
      </c>
      <c r="E198" s="4">
        <f t="array" aca="1" ref="E198" ca="1">IFERROR(AVERAGE(IF(B198=INDEX(BD,,2),INDEX(BD,,9),"")),0)</f>
        <v>81.320833333333326</v>
      </c>
      <c r="F198" s="4">
        <f t="array" aca="1" ref="F198" ca="1">MAX(IF(B198=INDEX(BD,,2),INDEX(BD,,9),""))</f>
        <v>127.66666666666669</v>
      </c>
      <c r="G198" s="4">
        <f t="array" aca="1" ref="G198" ca="1">MIN(IF(B198=INDEX(BD,,2),INDEX(BD,,9),0))</f>
        <v>0</v>
      </c>
    </row>
    <row r="199" spans="2:7" x14ac:dyDescent="0.3">
      <c r="B199" s="29">
        <v>44375</v>
      </c>
      <c r="C199" s="4">
        <f t="array" aca="1" ref="C199" ca="1">SUM(IF(B199=INDEX(BD,,2),INDEX(BD,,9),""))</f>
        <v>159.90000000000003</v>
      </c>
      <c r="D199" s="17">
        <f t="array" aca="1" ref="D199" ca="1">COUNT(IF(B199=INDEX(BD,,2),INDEX(BD,,9),""))</f>
        <v>4</v>
      </c>
      <c r="E199" s="4">
        <f t="array" aca="1" ref="E199" ca="1">IFERROR(AVERAGE(IF(B199=INDEX(BD,,2),INDEX(BD,,9),"")),0)</f>
        <v>39.975000000000009</v>
      </c>
      <c r="F199" s="4">
        <f t="array" aca="1" ref="F199" ca="1">MAX(IF(B199=INDEX(BD,,2),INDEX(BD,,9),""))</f>
        <v>60</v>
      </c>
      <c r="G199" s="4">
        <f t="array" aca="1" ref="G199" ca="1">MIN(IF(B199=INDEX(BD,,2),INDEX(BD,,9),0))</f>
        <v>0</v>
      </c>
    </row>
    <row r="200" spans="2:7" x14ac:dyDescent="0.3">
      <c r="B200" s="29">
        <v>44376</v>
      </c>
      <c r="C200" s="4">
        <f t="array" aca="1" ref="C200" ca="1">SUM(IF(B200=INDEX(BD,,2),INDEX(BD,,9),""))</f>
        <v>0</v>
      </c>
      <c r="D200" s="17">
        <f t="array" aca="1" ref="D200" ca="1">COUNT(IF(B200=INDEX(BD,,2),INDEX(BD,,9),""))</f>
        <v>0</v>
      </c>
      <c r="E200" s="4">
        <f t="array" aca="1" ref="E200" ca="1">IFERROR(AVERAGE(IF(B200=INDEX(BD,,2),INDEX(BD,,9),"")),0)</f>
        <v>0</v>
      </c>
      <c r="F200" s="4">
        <f t="array" aca="1" ref="F200" ca="1">MAX(IF(B200=INDEX(BD,,2),INDEX(BD,,9),""))</f>
        <v>0</v>
      </c>
      <c r="G200" s="4">
        <f t="array" aca="1" ref="G200" ca="1">MIN(IF(B200=INDEX(BD,,2),INDEX(BD,,9),0))</f>
        <v>0</v>
      </c>
    </row>
    <row r="201" spans="2:7" x14ac:dyDescent="0.3">
      <c r="B201" s="29">
        <v>44377</v>
      </c>
      <c r="C201" s="4">
        <f t="array" aca="1" ref="C201" ca="1">SUM(IF(B201=INDEX(BD,,2),INDEX(BD,,9),""))</f>
        <v>173.16666666666666</v>
      </c>
      <c r="D201" s="17">
        <f t="array" aca="1" ref="D201" ca="1">COUNT(IF(B201=INDEX(BD,,2),INDEX(BD,,9),""))</f>
        <v>2</v>
      </c>
      <c r="E201" s="4">
        <f t="array" aca="1" ref="E201" ca="1">IFERROR(AVERAGE(IF(B201=INDEX(BD,,2),INDEX(BD,,9),"")),0)</f>
        <v>86.583333333333329</v>
      </c>
      <c r="F201" s="4">
        <f t="array" aca="1" ref="F201" ca="1">MAX(IF(B201=INDEX(BD,,2),INDEX(BD,,9),""))</f>
        <v>88.500000000000028</v>
      </c>
      <c r="G201" s="4">
        <f t="array" aca="1" ref="G201" ca="1">MIN(IF(B201=INDEX(BD,,2),INDEX(BD,,9),0))</f>
        <v>0</v>
      </c>
    </row>
    <row r="202" spans="2:7" x14ac:dyDescent="0.3">
      <c r="B202" s="29">
        <v>44378</v>
      </c>
      <c r="C202" s="4">
        <f t="array" aca="1" ref="C202" ca="1">SUM(IF(B202=INDEX(BD,,2),INDEX(BD,,9),""))</f>
        <v>417.58333333333331</v>
      </c>
      <c r="D202" s="17">
        <f t="array" aca="1" ref="D202" ca="1">COUNT(IF(B202=INDEX(BD,,2),INDEX(BD,,9),""))</f>
        <v>5</v>
      </c>
      <c r="E202" s="4">
        <f t="array" aca="1" ref="E202" ca="1">IFERROR(AVERAGE(IF(B202=INDEX(BD,,2),INDEX(BD,,9),"")),0)</f>
        <v>83.516666666666666</v>
      </c>
      <c r="F202" s="4">
        <f t="array" aca="1" ref="F202" ca="1">MAX(IF(B202=INDEX(BD,,2),INDEX(BD,,9),""))</f>
        <v>127.33333333333336</v>
      </c>
      <c r="G202" s="4">
        <f t="array" aca="1" ref="G202" ca="1">MIN(IF(B202=INDEX(BD,,2),INDEX(BD,,9),0))</f>
        <v>0</v>
      </c>
    </row>
    <row r="203" spans="2:7" x14ac:dyDescent="0.3">
      <c r="B203" s="29">
        <v>44379</v>
      </c>
      <c r="C203" s="4">
        <f t="array" aca="1" ref="C203" ca="1">SUM(IF(B203=INDEX(BD,,2),INDEX(BD,,9),""))</f>
        <v>76.500000000000028</v>
      </c>
      <c r="D203" s="17">
        <f t="array" aca="1" ref="D203" ca="1">COUNT(IF(B203=INDEX(BD,,2),INDEX(BD,,9),""))</f>
        <v>1</v>
      </c>
      <c r="E203" s="4">
        <f t="array" aca="1" ref="E203" ca="1">IFERROR(AVERAGE(IF(B203=INDEX(BD,,2),INDEX(BD,,9),"")),0)</f>
        <v>76.500000000000028</v>
      </c>
      <c r="F203" s="4">
        <f t="array" aca="1" ref="F203" ca="1">MAX(IF(B203=INDEX(BD,,2),INDEX(BD,,9),""))</f>
        <v>76.500000000000028</v>
      </c>
      <c r="G203" s="4">
        <f t="array" aca="1" ref="G203" ca="1">MIN(IF(B203=INDEX(BD,,2),INDEX(BD,,9),0))</f>
        <v>0</v>
      </c>
    </row>
    <row r="204" spans="2:7" x14ac:dyDescent="0.3">
      <c r="B204" s="29">
        <v>44380</v>
      </c>
      <c r="C204" s="4">
        <f t="array" aca="1" ref="C204" ca="1">SUM(IF(B204=INDEX(BD,,2),INDEX(BD,,9),""))</f>
        <v>141.9</v>
      </c>
      <c r="D204" s="17">
        <f t="array" aca="1" ref="D204" ca="1">COUNT(IF(B204=INDEX(BD,,2),INDEX(BD,,9),""))</f>
        <v>2</v>
      </c>
      <c r="E204" s="4">
        <f t="array" aca="1" ref="E204" ca="1">IFERROR(AVERAGE(IF(B204=INDEX(BD,,2),INDEX(BD,,9),"")),0)</f>
        <v>70.95</v>
      </c>
      <c r="F204" s="4">
        <f t="array" aca="1" ref="F204" ca="1">MAX(IF(B204=INDEX(BD,,2),INDEX(BD,,9),""))</f>
        <v>84.75</v>
      </c>
      <c r="G204" s="4">
        <f t="array" aca="1" ref="G204" ca="1">MIN(IF(B204=INDEX(BD,,2),INDEX(BD,,9),0))</f>
        <v>0</v>
      </c>
    </row>
    <row r="205" spans="2:7" x14ac:dyDescent="0.3">
      <c r="B205" s="29">
        <v>44381</v>
      </c>
      <c r="C205" s="4">
        <f t="array" aca="1" ref="C205" ca="1">SUM(IF(B205=INDEX(BD,,2),INDEX(BD,,9),""))</f>
        <v>166.09999999999997</v>
      </c>
      <c r="D205" s="17">
        <f t="array" aca="1" ref="D205" ca="1">COUNT(IF(B205=INDEX(BD,,2),INDEX(BD,,9),""))</f>
        <v>3</v>
      </c>
      <c r="E205" s="4">
        <f t="array" aca="1" ref="E205" ca="1">IFERROR(AVERAGE(IF(B205=INDEX(BD,,2),INDEX(BD,,9),"")),0)</f>
        <v>55.366666666666653</v>
      </c>
      <c r="F205" s="4">
        <f t="array" aca="1" ref="F205" ca="1">MAX(IF(B205=INDEX(BD,,2),INDEX(BD,,9),""))</f>
        <v>65.599999999999994</v>
      </c>
      <c r="G205" s="4">
        <f t="array" aca="1" ref="G205" ca="1">MIN(IF(B205=INDEX(BD,,2),INDEX(BD,,9),0))</f>
        <v>0</v>
      </c>
    </row>
    <row r="206" spans="2:7" x14ac:dyDescent="0.3">
      <c r="B206" s="29">
        <v>44382</v>
      </c>
      <c r="C206" s="4">
        <f t="array" aca="1" ref="C206" ca="1">SUM(IF(B206=INDEX(BD,,2),INDEX(BD,,9),""))</f>
        <v>344.98333333333329</v>
      </c>
      <c r="D206" s="17">
        <f t="array" aca="1" ref="D206" ca="1">COUNT(IF(B206=INDEX(BD,,2),INDEX(BD,,9),""))</f>
        <v>4</v>
      </c>
      <c r="E206" s="4">
        <f t="array" aca="1" ref="E206" ca="1">IFERROR(AVERAGE(IF(B206=INDEX(BD,,2),INDEX(BD,,9),"")),0)</f>
        <v>86.245833333333323</v>
      </c>
      <c r="F206" s="4">
        <f t="array" aca="1" ref="F206" ca="1">MAX(IF(B206=INDEX(BD,,2),INDEX(BD,,9),""))</f>
        <v>160.33333333333331</v>
      </c>
      <c r="G206" s="4">
        <f t="array" aca="1" ref="G206" ca="1">MIN(IF(B206=INDEX(BD,,2),INDEX(BD,,9),0))</f>
        <v>0</v>
      </c>
    </row>
    <row r="207" spans="2:7" x14ac:dyDescent="0.3">
      <c r="B207" s="29">
        <v>44383</v>
      </c>
      <c r="C207" s="4">
        <f t="array" aca="1" ref="C207" ca="1">SUM(IF(B207=INDEX(BD,,2),INDEX(BD,,9),""))</f>
        <v>91.000000000000014</v>
      </c>
      <c r="D207" s="17">
        <f t="array" aca="1" ref="D207" ca="1">COUNT(IF(B207=INDEX(BD,,2),INDEX(BD,,9),""))</f>
        <v>1</v>
      </c>
      <c r="E207" s="4">
        <f t="array" aca="1" ref="E207" ca="1">IFERROR(AVERAGE(IF(B207=INDEX(BD,,2),INDEX(BD,,9),"")),0)</f>
        <v>91.000000000000014</v>
      </c>
      <c r="F207" s="4">
        <f t="array" aca="1" ref="F207" ca="1">MAX(IF(B207=INDEX(BD,,2),INDEX(BD,,9),""))</f>
        <v>91.000000000000014</v>
      </c>
      <c r="G207" s="4">
        <f t="array" aca="1" ref="G207" ca="1">MIN(IF(B207=INDEX(BD,,2),INDEX(BD,,9),0))</f>
        <v>0</v>
      </c>
    </row>
    <row r="208" spans="2:7" x14ac:dyDescent="0.3">
      <c r="B208" s="29">
        <v>44384</v>
      </c>
      <c r="C208" s="4">
        <f t="array" aca="1" ref="C208" ca="1">SUM(IF(B208=INDEX(BD,,2),INDEX(BD,,9),""))</f>
        <v>248.66666666666671</v>
      </c>
      <c r="D208" s="17">
        <f t="array" aca="1" ref="D208" ca="1">COUNT(IF(B208=INDEX(BD,,2),INDEX(BD,,9),""))</f>
        <v>2</v>
      </c>
      <c r="E208" s="4">
        <f t="array" aca="1" ref="E208" ca="1">IFERROR(AVERAGE(IF(B208=INDEX(BD,,2),INDEX(BD,,9),"")),0)</f>
        <v>124.33333333333336</v>
      </c>
      <c r="F208" s="4">
        <f t="array" aca="1" ref="F208" ca="1">MAX(IF(B208=INDEX(BD,,2),INDEX(BD,,9),""))</f>
        <v>127.33333333333334</v>
      </c>
      <c r="G208" s="4">
        <f t="array" aca="1" ref="G208" ca="1">MIN(IF(B208=INDEX(BD,,2),INDEX(BD,,9),0))</f>
        <v>0</v>
      </c>
    </row>
    <row r="209" spans="2:7" x14ac:dyDescent="0.3">
      <c r="B209" s="29">
        <v>44385</v>
      </c>
      <c r="C209" s="4">
        <f t="array" aca="1" ref="C209" ca="1">SUM(IF(B209=INDEX(BD,,2),INDEX(BD,,9),""))</f>
        <v>337.55</v>
      </c>
      <c r="D209" s="17">
        <f t="array" aca="1" ref="D209" ca="1">COUNT(IF(B209=INDEX(BD,,2),INDEX(BD,,9),""))</f>
        <v>5</v>
      </c>
      <c r="E209" s="4">
        <f t="array" aca="1" ref="E209" ca="1">IFERROR(AVERAGE(IF(B209=INDEX(BD,,2),INDEX(BD,,9),"")),0)</f>
        <v>67.510000000000005</v>
      </c>
      <c r="F209" s="4">
        <f t="array" aca="1" ref="F209" ca="1">MAX(IF(B209=INDEX(BD,,2),INDEX(BD,,9),""))</f>
        <v>117.25</v>
      </c>
      <c r="G209" s="4">
        <f t="array" aca="1" ref="G209" ca="1">MIN(IF(B209=INDEX(BD,,2),INDEX(BD,,9),0))</f>
        <v>0</v>
      </c>
    </row>
    <row r="210" spans="2:7" x14ac:dyDescent="0.3">
      <c r="B210" s="29">
        <v>44386</v>
      </c>
      <c r="C210" s="4">
        <f t="array" aca="1" ref="C210" ca="1">SUM(IF(B210=INDEX(BD,,2),INDEX(BD,,9),""))</f>
        <v>27.6666666666667</v>
      </c>
      <c r="D210" s="17">
        <f t="array" aca="1" ref="D210" ca="1">COUNT(IF(B210=INDEX(BD,,2),INDEX(BD,,9),""))</f>
        <v>1</v>
      </c>
      <c r="E210" s="4">
        <f t="array" aca="1" ref="E210" ca="1">IFERROR(AVERAGE(IF(B210=INDEX(BD,,2),INDEX(BD,,9),"")),0)</f>
        <v>27.6666666666667</v>
      </c>
      <c r="F210" s="4">
        <f t="array" aca="1" ref="F210" ca="1">MAX(IF(B210=INDEX(BD,,2),INDEX(BD,,9),""))</f>
        <v>27.6666666666667</v>
      </c>
      <c r="G210" s="4">
        <f t="array" aca="1" ref="G210" ca="1">MIN(IF(B210=INDEX(BD,,2),INDEX(BD,,9),0))</f>
        <v>0</v>
      </c>
    </row>
    <row r="211" spans="2:7" x14ac:dyDescent="0.3">
      <c r="B211" s="29">
        <v>44387</v>
      </c>
      <c r="C211" s="4">
        <f t="array" aca="1" ref="C211" ca="1">SUM(IF(B211=INDEX(BD,,2),INDEX(BD,,9),""))</f>
        <v>51.899999999999991</v>
      </c>
      <c r="D211" s="17">
        <f t="array" aca="1" ref="D211" ca="1">COUNT(IF(B211=INDEX(BD,,2),INDEX(BD,,9),""))</f>
        <v>2</v>
      </c>
      <c r="E211" s="4">
        <f t="array" aca="1" ref="E211" ca="1">IFERROR(AVERAGE(IF(B211=INDEX(BD,,2),INDEX(BD,,9),"")),0)</f>
        <v>25.949999999999996</v>
      </c>
      <c r="F211" s="4">
        <f t="array" aca="1" ref="F211" ca="1">MAX(IF(B211=INDEX(BD,,2),INDEX(BD,,9),""))</f>
        <v>33.599999999999987</v>
      </c>
      <c r="G211" s="4">
        <f t="array" aca="1" ref="G211" ca="1">MIN(IF(B211=INDEX(BD,,2),INDEX(BD,,9),0))</f>
        <v>0</v>
      </c>
    </row>
    <row r="212" spans="2:7" x14ac:dyDescent="0.3">
      <c r="B212" s="29">
        <v>44388</v>
      </c>
      <c r="C212" s="4">
        <f t="array" aca="1" ref="C212" ca="1">SUM(IF(B212=INDEX(BD,,2),INDEX(BD,,9),""))</f>
        <v>66</v>
      </c>
      <c r="D212" s="17">
        <f t="array" aca="1" ref="D212" ca="1">COUNT(IF(B212=INDEX(BD,,2),INDEX(BD,,9),""))</f>
        <v>1</v>
      </c>
      <c r="E212" s="4">
        <f t="array" aca="1" ref="E212" ca="1">IFERROR(AVERAGE(IF(B212=INDEX(BD,,2),INDEX(BD,,9),"")),0)</f>
        <v>66</v>
      </c>
      <c r="F212" s="4">
        <f t="array" aca="1" ref="F212" ca="1">MAX(IF(B212=INDEX(BD,,2),INDEX(BD,,9),""))</f>
        <v>66</v>
      </c>
      <c r="G212" s="4">
        <f t="array" aca="1" ref="G212" ca="1">MIN(IF(B212=INDEX(BD,,2),INDEX(BD,,9),0))</f>
        <v>0</v>
      </c>
    </row>
    <row r="213" spans="2:7" x14ac:dyDescent="0.3">
      <c r="B213" s="29">
        <v>44389</v>
      </c>
      <c r="C213" s="4">
        <f t="array" aca="1" ref="C213" ca="1">SUM(IF(B213=INDEX(BD,,2),INDEX(BD,,9),""))</f>
        <v>0</v>
      </c>
      <c r="D213" s="17">
        <f t="array" aca="1" ref="D213" ca="1">COUNT(IF(B213=INDEX(BD,,2),INDEX(BD,,9),""))</f>
        <v>0</v>
      </c>
      <c r="E213" s="4">
        <f t="array" aca="1" ref="E213" ca="1">IFERROR(AVERAGE(IF(B213=INDEX(BD,,2),INDEX(BD,,9),"")),0)</f>
        <v>0</v>
      </c>
      <c r="F213" s="4">
        <f t="array" aca="1" ref="F213" ca="1">MAX(IF(B213=INDEX(BD,,2),INDEX(BD,,9),""))</f>
        <v>0</v>
      </c>
      <c r="G213" s="4">
        <f t="array" aca="1" ref="G213" ca="1">MIN(IF(B213=INDEX(BD,,2),INDEX(BD,,9),0))</f>
        <v>0</v>
      </c>
    </row>
    <row r="214" spans="2:7" x14ac:dyDescent="0.3">
      <c r="B214" s="29">
        <v>44390</v>
      </c>
      <c r="C214" s="4">
        <f t="array" aca="1" ref="C214" ca="1">SUM(IF(B214=INDEX(BD,,2),INDEX(BD,,9),""))</f>
        <v>30.749999999999986</v>
      </c>
      <c r="D214" s="17">
        <f t="array" aca="1" ref="D214" ca="1">COUNT(IF(B214=INDEX(BD,,2),INDEX(BD,,9),""))</f>
        <v>1</v>
      </c>
      <c r="E214" s="4">
        <f t="array" aca="1" ref="E214" ca="1">IFERROR(AVERAGE(IF(B214=INDEX(BD,,2),INDEX(BD,,9),"")),0)</f>
        <v>30.749999999999986</v>
      </c>
      <c r="F214" s="4">
        <f t="array" aca="1" ref="F214" ca="1">MAX(IF(B214=INDEX(BD,,2),INDEX(BD,,9),""))</f>
        <v>30.749999999999986</v>
      </c>
      <c r="G214" s="4">
        <f t="array" aca="1" ref="G214" ca="1">MIN(IF(B214=INDEX(BD,,2),INDEX(BD,,9),0))</f>
        <v>0</v>
      </c>
    </row>
    <row r="215" spans="2:7" x14ac:dyDescent="0.3">
      <c r="B215" s="29">
        <v>44391</v>
      </c>
      <c r="C215" s="4">
        <f t="array" aca="1" ref="C215" ca="1">SUM(IF(B215=INDEX(BD,,2),INDEX(BD,,9),""))</f>
        <v>0</v>
      </c>
      <c r="D215" s="17">
        <f t="array" aca="1" ref="D215" ca="1">COUNT(IF(B215=INDEX(BD,,2),INDEX(BD,,9),""))</f>
        <v>0</v>
      </c>
      <c r="E215" s="4">
        <f t="array" aca="1" ref="E215" ca="1">IFERROR(AVERAGE(IF(B215=INDEX(BD,,2),INDEX(BD,,9),"")),0)</f>
        <v>0</v>
      </c>
      <c r="F215" s="4">
        <f t="array" aca="1" ref="F215" ca="1">MAX(IF(B215=INDEX(BD,,2),INDEX(BD,,9),""))</f>
        <v>0</v>
      </c>
      <c r="G215" s="4">
        <f t="array" aca="1" ref="G215" ca="1">MIN(IF(B215=INDEX(BD,,2),INDEX(BD,,9),0))</f>
        <v>0</v>
      </c>
    </row>
    <row r="216" spans="2:7" x14ac:dyDescent="0.3">
      <c r="B216" s="29">
        <v>44392</v>
      </c>
      <c r="C216" s="4">
        <f t="array" aca="1" ref="C216" ca="1">SUM(IF(B216=INDEX(BD,,2),INDEX(BD,,9),""))</f>
        <v>107</v>
      </c>
      <c r="D216" s="17">
        <f t="array" aca="1" ref="D216" ca="1">COUNT(IF(B216=INDEX(BD,,2),INDEX(BD,,9),""))</f>
        <v>1</v>
      </c>
      <c r="E216" s="4">
        <f t="array" aca="1" ref="E216" ca="1">IFERROR(AVERAGE(IF(B216=INDEX(BD,,2),INDEX(BD,,9),"")),0)</f>
        <v>107</v>
      </c>
      <c r="F216" s="4">
        <f t="array" aca="1" ref="F216" ca="1">MAX(IF(B216=INDEX(BD,,2),INDEX(BD,,9),""))</f>
        <v>107</v>
      </c>
      <c r="G216" s="4">
        <f t="array" aca="1" ref="G216" ca="1">MIN(IF(B216=INDEX(BD,,2),INDEX(BD,,9),0))</f>
        <v>0</v>
      </c>
    </row>
    <row r="217" spans="2:7" x14ac:dyDescent="0.3">
      <c r="B217" s="29">
        <v>44393</v>
      </c>
      <c r="C217" s="4">
        <f t="array" aca="1" ref="C217" ca="1">SUM(IF(B217=INDEX(BD,,2),INDEX(BD,,9),""))</f>
        <v>49.8</v>
      </c>
      <c r="D217" s="17">
        <f t="array" aca="1" ref="D217" ca="1">COUNT(IF(B217=INDEX(BD,,2),INDEX(BD,,9),""))</f>
        <v>1</v>
      </c>
      <c r="E217" s="4">
        <f t="array" aca="1" ref="E217" ca="1">IFERROR(AVERAGE(IF(B217=INDEX(BD,,2),INDEX(BD,,9),"")),0)</f>
        <v>49.8</v>
      </c>
      <c r="F217" s="4">
        <f t="array" aca="1" ref="F217" ca="1">MAX(IF(B217=INDEX(BD,,2),INDEX(BD,,9),""))</f>
        <v>49.8</v>
      </c>
      <c r="G217" s="4">
        <f t="array" aca="1" ref="G217" ca="1">MIN(IF(B217=INDEX(BD,,2),INDEX(BD,,9),0))</f>
        <v>0</v>
      </c>
    </row>
    <row r="218" spans="2:7" x14ac:dyDescent="0.3">
      <c r="B218" s="29">
        <v>44394</v>
      </c>
      <c r="C218" s="4">
        <f t="array" aca="1" ref="C218" ca="1">SUM(IF(B218=INDEX(BD,,2),INDEX(BD,,9),""))</f>
        <v>0</v>
      </c>
      <c r="D218" s="17">
        <f t="array" aca="1" ref="D218" ca="1">COUNT(IF(B218=INDEX(BD,,2),INDEX(BD,,9),""))</f>
        <v>0</v>
      </c>
      <c r="E218" s="4">
        <f t="array" aca="1" ref="E218" ca="1">IFERROR(AVERAGE(IF(B218=INDEX(BD,,2),INDEX(BD,,9),"")),0)</f>
        <v>0</v>
      </c>
      <c r="F218" s="4">
        <f t="array" aca="1" ref="F218" ca="1">MAX(IF(B218=INDEX(BD,,2),INDEX(BD,,9),""))</f>
        <v>0</v>
      </c>
      <c r="G218" s="4">
        <f t="array" aca="1" ref="G218" ca="1">MIN(IF(B218=INDEX(BD,,2),INDEX(BD,,9),0))</f>
        <v>0</v>
      </c>
    </row>
    <row r="219" spans="2:7" x14ac:dyDescent="0.3">
      <c r="B219" s="29">
        <v>44395</v>
      </c>
      <c r="C219" s="4">
        <f t="array" aca="1" ref="C219" ca="1">SUM(IF(B219=INDEX(BD,,2),INDEX(BD,,9),""))</f>
        <v>0</v>
      </c>
      <c r="D219" s="17">
        <f t="array" aca="1" ref="D219" ca="1">COUNT(IF(B219=INDEX(BD,,2),INDEX(BD,,9),""))</f>
        <v>0</v>
      </c>
      <c r="E219" s="4">
        <f t="array" aca="1" ref="E219" ca="1">IFERROR(AVERAGE(IF(B219=INDEX(BD,,2),INDEX(BD,,9),"")),0)</f>
        <v>0</v>
      </c>
      <c r="F219" s="4">
        <f t="array" aca="1" ref="F219" ca="1">MAX(IF(B219=INDEX(BD,,2),INDEX(BD,,9),""))</f>
        <v>0</v>
      </c>
      <c r="G219" s="4">
        <f t="array" aca="1" ref="G219" ca="1">MIN(IF(B219=INDEX(BD,,2),INDEX(BD,,9),0))</f>
        <v>0</v>
      </c>
    </row>
    <row r="220" spans="2:7" x14ac:dyDescent="0.3">
      <c r="B220" s="29">
        <v>44396</v>
      </c>
      <c r="C220" s="4">
        <f t="array" aca="1" ref="C220" ca="1">SUM(IF(B220=INDEX(BD,,2),INDEX(BD,,9),""))</f>
        <v>32.249999999999979</v>
      </c>
      <c r="D220" s="17">
        <f t="array" aca="1" ref="D220" ca="1">COUNT(IF(B220=INDEX(BD,,2),INDEX(BD,,9),""))</f>
        <v>1</v>
      </c>
      <c r="E220" s="4">
        <f t="array" aca="1" ref="E220" ca="1">IFERROR(AVERAGE(IF(B220=INDEX(BD,,2),INDEX(BD,,9),"")),0)</f>
        <v>32.249999999999979</v>
      </c>
      <c r="F220" s="4">
        <f t="array" aca="1" ref="F220" ca="1">MAX(IF(B220=INDEX(BD,,2),INDEX(BD,,9),""))</f>
        <v>32.249999999999979</v>
      </c>
      <c r="G220" s="4">
        <f t="array" aca="1" ref="G220" ca="1">MIN(IF(B220=INDEX(BD,,2),INDEX(BD,,9),0))</f>
        <v>0</v>
      </c>
    </row>
    <row r="221" spans="2:7" x14ac:dyDescent="0.3">
      <c r="B221" s="29">
        <v>44397</v>
      </c>
      <c r="C221" s="4">
        <f t="array" aca="1" ref="C221" ca="1">SUM(IF(B221=INDEX(BD,,2),INDEX(BD,,9),""))</f>
        <v>266.76666666666671</v>
      </c>
      <c r="D221" s="17">
        <f t="array" aca="1" ref="D221" ca="1">COUNT(IF(B221=INDEX(BD,,2),INDEX(BD,,9),""))</f>
        <v>4</v>
      </c>
      <c r="E221" s="4">
        <f t="array" aca="1" ref="E221" ca="1">IFERROR(AVERAGE(IF(B221=INDEX(BD,,2),INDEX(BD,,9),"")),0)</f>
        <v>66.691666666666677</v>
      </c>
      <c r="F221" s="4">
        <f t="array" aca="1" ref="F221" ca="1">MAX(IF(B221=INDEX(BD,,2),INDEX(BD,,9),""))</f>
        <v>96.333333333333329</v>
      </c>
      <c r="G221" s="4">
        <f t="array" aca="1" ref="G221" ca="1">MIN(IF(B221=INDEX(BD,,2),INDEX(BD,,9),0))</f>
        <v>0</v>
      </c>
    </row>
    <row r="222" spans="2:7" x14ac:dyDescent="0.3">
      <c r="B222" s="29">
        <v>44398</v>
      </c>
      <c r="C222" s="4">
        <f t="array" aca="1" ref="C222" ca="1">SUM(IF(B222=INDEX(BD,,2),INDEX(BD,,9),""))</f>
        <v>126.33333333333333</v>
      </c>
      <c r="D222" s="17">
        <f t="array" aca="1" ref="D222" ca="1">COUNT(IF(B222=INDEX(BD,,2),INDEX(BD,,9),""))</f>
        <v>1</v>
      </c>
      <c r="E222" s="4">
        <f t="array" aca="1" ref="E222" ca="1">IFERROR(AVERAGE(IF(B222=INDEX(BD,,2),INDEX(BD,,9),"")),0)</f>
        <v>126.33333333333333</v>
      </c>
      <c r="F222" s="4">
        <f t="array" aca="1" ref="F222" ca="1">MAX(IF(B222=INDEX(BD,,2),INDEX(BD,,9),""))</f>
        <v>126.33333333333333</v>
      </c>
      <c r="G222" s="4">
        <f t="array" aca="1" ref="G222" ca="1">MIN(IF(B222=INDEX(BD,,2),INDEX(BD,,9),0))</f>
        <v>0</v>
      </c>
    </row>
    <row r="223" spans="2:7" x14ac:dyDescent="0.3">
      <c r="B223" s="29">
        <v>44399</v>
      </c>
      <c r="C223" s="4">
        <f t="array" aca="1" ref="C223" ca="1">SUM(IF(B223=INDEX(BD,,2),INDEX(BD,,9),""))</f>
        <v>215.89999999999998</v>
      </c>
      <c r="D223" s="17">
        <f t="array" aca="1" ref="D223" ca="1">COUNT(IF(B223=INDEX(BD,,2),INDEX(BD,,9),""))</f>
        <v>4</v>
      </c>
      <c r="E223" s="4">
        <f t="array" aca="1" ref="E223" ca="1">IFERROR(AVERAGE(IF(B223=INDEX(BD,,2),INDEX(BD,,9),"")),0)</f>
        <v>53.974999999999994</v>
      </c>
      <c r="F223" s="4">
        <f t="array" aca="1" ref="F223" ca="1">MAX(IF(B223=INDEX(BD,,2),INDEX(BD,,9),""))</f>
        <v>100.39999999999998</v>
      </c>
      <c r="G223" s="4">
        <f t="array" aca="1" ref="G223" ca="1">MIN(IF(B223=INDEX(BD,,2),INDEX(BD,,9),0))</f>
        <v>0</v>
      </c>
    </row>
    <row r="224" spans="2:7" x14ac:dyDescent="0.3">
      <c r="B224" s="29">
        <v>44400</v>
      </c>
      <c r="C224" s="4">
        <f t="array" aca="1" ref="C224" ca="1">SUM(IF(B224=INDEX(BD,,2),INDEX(BD,,9),""))</f>
        <v>106.13333333333334</v>
      </c>
      <c r="D224" s="17">
        <f t="array" aca="1" ref="D224" ca="1">COUNT(IF(B224=INDEX(BD,,2),INDEX(BD,,9),""))</f>
        <v>3</v>
      </c>
      <c r="E224" s="4">
        <f t="array" aca="1" ref="E224" ca="1">IFERROR(AVERAGE(IF(B224=INDEX(BD,,2),INDEX(BD,,9),"")),0)</f>
        <v>35.37777777777778</v>
      </c>
      <c r="F224" s="4">
        <f t="array" aca="1" ref="F224" ca="1">MAX(IF(B224=INDEX(BD,,2),INDEX(BD,,9),""))</f>
        <v>63.33333333333335</v>
      </c>
      <c r="G224" s="4">
        <f t="array" aca="1" ref="G224" ca="1">MIN(IF(B224=INDEX(BD,,2),INDEX(BD,,9),0))</f>
        <v>0</v>
      </c>
    </row>
    <row r="225" spans="2:7" x14ac:dyDescent="0.3">
      <c r="B225" s="29">
        <v>44401</v>
      </c>
      <c r="C225" s="4">
        <f t="array" aca="1" ref="C225" ca="1">SUM(IF(B225=INDEX(BD,,2),INDEX(BD,,9),""))</f>
        <v>0</v>
      </c>
      <c r="D225" s="17">
        <f t="array" aca="1" ref="D225" ca="1">COUNT(IF(B225=INDEX(BD,,2),INDEX(BD,,9),""))</f>
        <v>0</v>
      </c>
      <c r="E225" s="4">
        <f t="array" aca="1" ref="E225" ca="1">IFERROR(AVERAGE(IF(B225=INDEX(BD,,2),INDEX(BD,,9),"")),0)</f>
        <v>0</v>
      </c>
      <c r="F225" s="4">
        <f t="array" aca="1" ref="F225" ca="1">MAX(IF(B225=INDEX(BD,,2),INDEX(BD,,9),""))</f>
        <v>0</v>
      </c>
      <c r="G225" s="4">
        <f t="array" aca="1" ref="G225" ca="1">MIN(IF(B225=INDEX(BD,,2),INDEX(BD,,9),0))</f>
        <v>0</v>
      </c>
    </row>
    <row r="226" spans="2:7" x14ac:dyDescent="0.3">
      <c r="B226" s="29">
        <v>44402</v>
      </c>
      <c r="C226" s="4">
        <f t="array" aca="1" ref="C226" ca="1">SUM(IF(B226=INDEX(BD,,2),INDEX(BD,,9),""))</f>
        <v>105</v>
      </c>
      <c r="D226" s="17">
        <f t="array" aca="1" ref="D226" ca="1">COUNT(IF(B226=INDEX(BD,,2),INDEX(BD,,9),""))</f>
        <v>2</v>
      </c>
      <c r="E226" s="4">
        <f t="array" aca="1" ref="E226" ca="1">IFERROR(AVERAGE(IF(B226=INDEX(BD,,2),INDEX(BD,,9),"")),0)</f>
        <v>52.5</v>
      </c>
      <c r="F226" s="4">
        <f t="array" aca="1" ref="F226" ca="1">MAX(IF(B226=INDEX(BD,,2),INDEX(BD,,9),""))</f>
        <v>57.000000000000007</v>
      </c>
      <c r="G226" s="4">
        <f t="array" aca="1" ref="G226" ca="1">MIN(IF(B226=INDEX(BD,,2),INDEX(BD,,9),0))</f>
        <v>0</v>
      </c>
    </row>
    <row r="227" spans="2:7" x14ac:dyDescent="0.3">
      <c r="B227" s="29">
        <v>44403</v>
      </c>
      <c r="C227" s="4">
        <f t="array" aca="1" ref="C227" ca="1">SUM(IF(B227=INDEX(BD,,2),INDEX(BD,,9),""))</f>
        <v>95.500000000000043</v>
      </c>
      <c r="D227" s="17">
        <f t="array" aca="1" ref="D227" ca="1">COUNT(IF(B227=INDEX(BD,,2),INDEX(BD,,9),""))</f>
        <v>2</v>
      </c>
      <c r="E227" s="4">
        <f t="array" aca="1" ref="E227" ca="1">IFERROR(AVERAGE(IF(B227=INDEX(BD,,2),INDEX(BD,,9),"")),0)</f>
        <v>47.750000000000021</v>
      </c>
      <c r="F227" s="4">
        <f t="array" aca="1" ref="F227" ca="1">MAX(IF(B227=INDEX(BD,,2),INDEX(BD,,9),""))</f>
        <v>64.500000000000028</v>
      </c>
      <c r="G227" s="4">
        <f t="array" aca="1" ref="G227" ca="1">MIN(IF(B227=INDEX(BD,,2),INDEX(BD,,9),0))</f>
        <v>0</v>
      </c>
    </row>
    <row r="228" spans="2:7" x14ac:dyDescent="0.3">
      <c r="B228" s="29">
        <v>44404</v>
      </c>
      <c r="C228" s="4">
        <f t="array" aca="1" ref="C228" ca="1">SUM(IF(B228=INDEX(BD,,2),INDEX(BD,,9),""))</f>
        <v>175.8</v>
      </c>
      <c r="D228" s="17">
        <f t="array" aca="1" ref="D228" ca="1">COUNT(IF(B228=INDEX(BD,,2),INDEX(BD,,9),""))</f>
        <v>3</v>
      </c>
      <c r="E228" s="4">
        <f t="array" aca="1" ref="E228" ca="1">IFERROR(AVERAGE(IF(B228=INDEX(BD,,2),INDEX(BD,,9),"")),0)</f>
        <v>58.6</v>
      </c>
      <c r="F228" s="4">
        <f t="array" aca="1" ref="F228" ca="1">MAX(IF(B228=INDEX(BD,,2),INDEX(BD,,9),""))</f>
        <v>83.5</v>
      </c>
      <c r="G228" s="4">
        <f t="array" aca="1" ref="G228" ca="1">MIN(IF(B228=INDEX(BD,,2),INDEX(BD,,9),0))</f>
        <v>0</v>
      </c>
    </row>
    <row r="229" spans="2:7" x14ac:dyDescent="0.3">
      <c r="B229" s="29">
        <v>44405</v>
      </c>
      <c r="C229" s="4">
        <f t="array" aca="1" ref="C229" ca="1">SUM(IF(B229=INDEX(BD,,2),INDEX(BD,,9),""))</f>
        <v>92.249999999999986</v>
      </c>
      <c r="D229" s="17">
        <f t="array" aca="1" ref="D229" ca="1">COUNT(IF(B229=INDEX(BD,,2),INDEX(BD,,9),""))</f>
        <v>1</v>
      </c>
      <c r="E229" s="4">
        <f t="array" aca="1" ref="E229" ca="1">IFERROR(AVERAGE(IF(B229=INDEX(BD,,2),INDEX(BD,,9),"")),0)</f>
        <v>92.249999999999986</v>
      </c>
      <c r="F229" s="4">
        <f t="array" aca="1" ref="F229" ca="1">MAX(IF(B229=INDEX(BD,,2),INDEX(BD,,9),""))</f>
        <v>92.249999999999986</v>
      </c>
      <c r="G229" s="4">
        <f t="array" aca="1" ref="G229" ca="1">MIN(IF(B229=INDEX(BD,,2),INDEX(BD,,9),0))</f>
        <v>0</v>
      </c>
    </row>
    <row r="230" spans="2:7" x14ac:dyDescent="0.3">
      <c r="B230" s="29">
        <v>44406</v>
      </c>
      <c r="C230" s="4">
        <f t="array" aca="1" ref="C230" ca="1">SUM(IF(B230=INDEX(BD,,2),INDEX(BD,,9),""))</f>
        <v>243.41666666666666</v>
      </c>
      <c r="D230" s="17">
        <f t="array" aca="1" ref="D230" ca="1">COUNT(IF(B230=INDEX(BD,,2),INDEX(BD,,9),""))</f>
        <v>3</v>
      </c>
      <c r="E230" s="4">
        <f t="array" aca="1" ref="E230" ca="1">IFERROR(AVERAGE(IF(B230=INDEX(BD,,2),INDEX(BD,,9),"")),0)</f>
        <v>81.138888888888886</v>
      </c>
      <c r="F230" s="4">
        <f t="array" aca="1" ref="F230" ca="1">MAX(IF(B230=INDEX(BD,,2),INDEX(BD,,9),""))</f>
        <v>142.66666666666663</v>
      </c>
      <c r="G230" s="4">
        <f t="array" aca="1" ref="G230" ca="1">MIN(IF(B230=INDEX(BD,,2),INDEX(BD,,9),0))</f>
        <v>0</v>
      </c>
    </row>
    <row r="231" spans="2:7" x14ac:dyDescent="0.3">
      <c r="B231" s="29">
        <v>44407</v>
      </c>
      <c r="C231" s="4">
        <f t="array" aca="1" ref="C231" ca="1">SUM(IF(B231=INDEX(BD,,2),INDEX(BD,,9),""))</f>
        <v>126.44999999999999</v>
      </c>
      <c r="D231" s="17">
        <f t="array" aca="1" ref="D231" ca="1">COUNT(IF(B231=INDEX(BD,,2),INDEX(BD,,9),""))</f>
        <v>2</v>
      </c>
      <c r="E231" s="4">
        <f t="array" aca="1" ref="E231" ca="1">IFERROR(AVERAGE(IF(B231=INDEX(BD,,2),INDEX(BD,,9),"")),0)</f>
        <v>63.224999999999994</v>
      </c>
      <c r="F231" s="4">
        <f t="array" aca="1" ref="F231" ca="1">MAX(IF(B231=INDEX(BD,,2),INDEX(BD,,9),""))</f>
        <v>73.8</v>
      </c>
      <c r="G231" s="4">
        <f t="array" aca="1" ref="G231" ca="1">MIN(IF(B231=INDEX(BD,,2),INDEX(BD,,9),0))</f>
        <v>0</v>
      </c>
    </row>
    <row r="232" spans="2:7" x14ac:dyDescent="0.3">
      <c r="B232" s="29">
        <v>44408</v>
      </c>
      <c r="C232" s="4">
        <f t="array" aca="1" ref="C232" ca="1">SUM(IF(B232=INDEX(BD,,2),INDEX(BD,,9),""))</f>
        <v>0</v>
      </c>
      <c r="D232" s="17">
        <f t="array" aca="1" ref="D232" ca="1">COUNT(IF(B232=INDEX(BD,,2),INDEX(BD,,9),""))</f>
        <v>0</v>
      </c>
      <c r="E232" s="4">
        <f t="array" aca="1" ref="E232" ca="1">IFERROR(AVERAGE(IF(B232=INDEX(BD,,2),INDEX(BD,,9),"")),0)</f>
        <v>0</v>
      </c>
      <c r="F232" s="4">
        <f t="array" aca="1" ref="F232" ca="1">MAX(IF(B232=INDEX(BD,,2),INDEX(BD,,9),""))</f>
        <v>0</v>
      </c>
      <c r="G232" s="4">
        <f t="array" aca="1" ref="G232" ca="1">MIN(IF(B232=INDEX(BD,,2),INDEX(BD,,9),0))</f>
        <v>0</v>
      </c>
    </row>
    <row r="233" spans="2:7" x14ac:dyDescent="0.3">
      <c r="B233" s="29">
        <v>44409</v>
      </c>
      <c r="C233" s="4">
        <f t="array" aca="1" ref="C233" ca="1">SUM(IF(B233=INDEX(BD,,2),INDEX(BD,,9),""))</f>
        <v>248</v>
      </c>
      <c r="D233" s="17">
        <f t="array" aca="1" ref="D233" ca="1">COUNT(IF(B233=INDEX(BD,,2),INDEX(BD,,9),""))</f>
        <v>5</v>
      </c>
      <c r="E233" s="4">
        <f t="array" aca="1" ref="E233" ca="1">IFERROR(AVERAGE(IF(B233=INDEX(BD,,2),INDEX(BD,,9),"")),0)</f>
        <v>49.6</v>
      </c>
      <c r="F233" s="4">
        <f t="array" aca="1" ref="F233" ca="1">MAX(IF(B233=INDEX(BD,,2),INDEX(BD,,9),""))</f>
        <v>95.000000000000014</v>
      </c>
      <c r="G233" s="4">
        <f t="array" aca="1" ref="G233" ca="1">MIN(IF(B233=INDEX(BD,,2),INDEX(BD,,9),0))</f>
        <v>0</v>
      </c>
    </row>
    <row r="234" spans="2:7" x14ac:dyDescent="0.3">
      <c r="B234" s="29">
        <v>44410</v>
      </c>
      <c r="C234" s="4">
        <f t="array" aca="1" ref="C234" ca="1">SUM(IF(B234=INDEX(BD,,2),INDEX(BD,,9),""))</f>
        <v>159.61666666666662</v>
      </c>
      <c r="D234" s="17">
        <f t="array" aca="1" ref="D234" ca="1">COUNT(IF(B234=INDEX(BD,,2),INDEX(BD,,9),""))</f>
        <v>2</v>
      </c>
      <c r="E234" s="4">
        <f t="array" aca="1" ref="E234" ca="1">IFERROR(AVERAGE(IF(B234=INDEX(BD,,2),INDEX(BD,,9),"")),0)</f>
        <v>79.808333333333309</v>
      </c>
      <c r="F234" s="4">
        <f t="array" aca="1" ref="F234" ca="1">MAX(IF(B234=INDEX(BD,,2),INDEX(BD,,9),""))</f>
        <v>103.66666666666663</v>
      </c>
      <c r="G234" s="4">
        <f t="array" aca="1" ref="G234" ca="1">MIN(IF(B234=INDEX(BD,,2),INDEX(BD,,9),0))</f>
        <v>0</v>
      </c>
    </row>
    <row r="235" spans="2:7" x14ac:dyDescent="0.3">
      <c r="B235" s="29">
        <v>44411</v>
      </c>
      <c r="C235" s="4">
        <f t="array" aca="1" ref="C235" ca="1">SUM(IF(B235=INDEX(BD,,2),INDEX(BD,,9),""))</f>
        <v>223.45000000000002</v>
      </c>
      <c r="D235" s="17">
        <f t="array" aca="1" ref="D235" ca="1">COUNT(IF(B235=INDEX(BD,,2),INDEX(BD,,9),""))</f>
        <v>3</v>
      </c>
      <c r="E235" s="4">
        <f t="array" aca="1" ref="E235" ca="1">IFERROR(AVERAGE(IF(B235=INDEX(BD,,2),INDEX(BD,,9),"")),0)</f>
        <v>74.483333333333334</v>
      </c>
      <c r="F235" s="4">
        <f t="array" aca="1" ref="F235" ca="1">MAX(IF(B235=INDEX(BD,,2),INDEX(BD,,9),""))</f>
        <v>138</v>
      </c>
      <c r="G235" s="4">
        <f t="array" aca="1" ref="G235" ca="1">MIN(IF(B235=INDEX(BD,,2),INDEX(BD,,9),0))</f>
        <v>0</v>
      </c>
    </row>
    <row r="236" spans="2:7" x14ac:dyDescent="0.3">
      <c r="B236" s="29">
        <v>44412</v>
      </c>
      <c r="C236" s="4">
        <f t="array" aca="1" ref="C236" ca="1">SUM(IF(B236=INDEX(BD,,2),INDEX(BD,,9),""))</f>
        <v>19.79999999999999</v>
      </c>
      <c r="D236" s="17">
        <f t="array" aca="1" ref="D236" ca="1">COUNT(IF(B236=INDEX(BD,,2),INDEX(BD,,9),""))</f>
        <v>1</v>
      </c>
      <c r="E236" s="4">
        <f t="array" aca="1" ref="E236" ca="1">IFERROR(AVERAGE(IF(B236=INDEX(BD,,2),INDEX(BD,,9),"")),0)</f>
        <v>19.79999999999999</v>
      </c>
      <c r="F236" s="4">
        <f t="array" aca="1" ref="F236" ca="1">MAX(IF(B236=INDEX(BD,,2),INDEX(BD,,9),""))</f>
        <v>19.79999999999999</v>
      </c>
      <c r="G236" s="4">
        <f t="array" aca="1" ref="G236" ca="1">MIN(IF(B236=INDEX(BD,,2),INDEX(BD,,9),0))</f>
        <v>0</v>
      </c>
    </row>
    <row r="237" spans="2:7" x14ac:dyDescent="0.3">
      <c r="B237" s="29">
        <v>44413</v>
      </c>
      <c r="C237" s="4">
        <f t="array" aca="1" ref="C237" ca="1">SUM(IF(B237=INDEX(BD,,2),INDEX(BD,,9),""))</f>
        <v>213.68333333333337</v>
      </c>
      <c r="D237" s="17">
        <f t="array" aca="1" ref="D237" ca="1">COUNT(IF(B237=INDEX(BD,,2),INDEX(BD,,9),""))</f>
        <v>3</v>
      </c>
      <c r="E237" s="4">
        <f t="array" aca="1" ref="E237" ca="1">IFERROR(AVERAGE(IF(B237=INDEX(BD,,2),INDEX(BD,,9),"")),0)</f>
        <v>71.227777777777789</v>
      </c>
      <c r="F237" s="4">
        <f t="array" aca="1" ref="F237" ca="1">MAX(IF(B237=INDEX(BD,,2),INDEX(BD,,9),""))</f>
        <v>153.33333333333337</v>
      </c>
      <c r="G237" s="4">
        <f t="array" aca="1" ref="G237" ca="1">MIN(IF(B237=INDEX(BD,,2),INDEX(BD,,9),0))</f>
        <v>0</v>
      </c>
    </row>
    <row r="238" spans="2:7" x14ac:dyDescent="0.3">
      <c r="B238" s="29">
        <v>44414</v>
      </c>
      <c r="C238" s="4">
        <f t="array" aca="1" ref="C238" ca="1">SUM(IF(B238=INDEX(BD,,2),INDEX(BD,,9),""))</f>
        <v>18.499999999999993</v>
      </c>
      <c r="D238" s="17">
        <f t="array" aca="1" ref="D238" ca="1">COUNT(IF(B238=INDEX(BD,,2),INDEX(BD,,9),""))</f>
        <v>1</v>
      </c>
      <c r="E238" s="4">
        <f t="array" aca="1" ref="E238" ca="1">IFERROR(AVERAGE(IF(B238=INDEX(BD,,2),INDEX(BD,,9),"")),0)</f>
        <v>18.499999999999993</v>
      </c>
      <c r="F238" s="4">
        <f t="array" aca="1" ref="F238" ca="1">MAX(IF(B238=INDEX(BD,,2),INDEX(BD,,9),""))</f>
        <v>18.499999999999993</v>
      </c>
      <c r="G238" s="4">
        <f t="array" aca="1" ref="G238" ca="1">MIN(IF(B238=INDEX(BD,,2),INDEX(BD,,9),0))</f>
        <v>0</v>
      </c>
    </row>
    <row r="239" spans="2:7" x14ac:dyDescent="0.3">
      <c r="B239" s="29">
        <v>44415</v>
      </c>
      <c r="C239" s="4">
        <f t="array" aca="1" ref="C239" ca="1">SUM(IF(B239=INDEX(BD,,2),INDEX(BD,,9),""))</f>
        <v>29.333333333333364</v>
      </c>
      <c r="D239" s="17">
        <f t="array" aca="1" ref="D239" ca="1">COUNT(IF(B239=INDEX(BD,,2),INDEX(BD,,9),""))</f>
        <v>1</v>
      </c>
      <c r="E239" s="4">
        <f t="array" aca="1" ref="E239" ca="1">IFERROR(AVERAGE(IF(B239=INDEX(BD,,2),INDEX(BD,,9),"")),0)</f>
        <v>29.333333333333364</v>
      </c>
      <c r="F239" s="4">
        <f t="array" aca="1" ref="F239" ca="1">MAX(IF(B239=INDEX(BD,,2),INDEX(BD,,9),""))</f>
        <v>29.333333333333364</v>
      </c>
      <c r="G239" s="4">
        <f t="array" aca="1" ref="G239" ca="1">MIN(IF(B239=INDEX(BD,,2),INDEX(BD,,9),0))</f>
        <v>0</v>
      </c>
    </row>
    <row r="240" spans="2:7" x14ac:dyDescent="0.3">
      <c r="B240" s="29">
        <v>44416</v>
      </c>
      <c r="C240" s="4">
        <f t="array" aca="1" ref="C240" ca="1">SUM(IF(B240=INDEX(BD,,2),INDEX(BD,,9),""))</f>
        <v>0</v>
      </c>
      <c r="D240" s="17">
        <f t="array" aca="1" ref="D240" ca="1">COUNT(IF(B240=INDEX(BD,,2),INDEX(BD,,9),""))</f>
        <v>0</v>
      </c>
      <c r="E240" s="4">
        <f t="array" aca="1" ref="E240" ca="1">IFERROR(AVERAGE(IF(B240=INDEX(BD,,2),INDEX(BD,,9),"")),0)</f>
        <v>0</v>
      </c>
      <c r="F240" s="4">
        <f t="array" aca="1" ref="F240" ca="1">MAX(IF(B240=INDEX(BD,,2),INDEX(BD,,9),""))</f>
        <v>0</v>
      </c>
      <c r="G240" s="4">
        <f t="array" aca="1" ref="G240" ca="1">MIN(IF(B240=INDEX(BD,,2),INDEX(BD,,9),0))</f>
        <v>0</v>
      </c>
    </row>
    <row r="241" spans="2:7" x14ac:dyDescent="0.3">
      <c r="B241" s="29">
        <v>44417</v>
      </c>
      <c r="C241" s="4">
        <f t="array" aca="1" ref="C241" ca="1">SUM(IF(B241=INDEX(BD,,2),INDEX(BD,,9),""))</f>
        <v>0</v>
      </c>
      <c r="D241" s="17">
        <f t="array" aca="1" ref="D241" ca="1">COUNT(IF(B241=INDEX(BD,,2),INDEX(BD,,9),""))</f>
        <v>0</v>
      </c>
      <c r="E241" s="4">
        <f t="array" aca="1" ref="E241" ca="1">IFERROR(AVERAGE(IF(B241=INDEX(BD,,2),INDEX(BD,,9),"")),0)</f>
        <v>0</v>
      </c>
      <c r="F241" s="4">
        <f t="array" aca="1" ref="F241" ca="1">MAX(IF(B241=INDEX(BD,,2),INDEX(BD,,9),""))</f>
        <v>0</v>
      </c>
      <c r="G241" s="4">
        <f t="array" aca="1" ref="G241" ca="1">MIN(IF(B241=INDEX(BD,,2),INDEX(BD,,9),0))</f>
        <v>0</v>
      </c>
    </row>
    <row r="242" spans="2:7" x14ac:dyDescent="0.3">
      <c r="B242" s="29">
        <v>44418</v>
      </c>
      <c r="C242" s="4">
        <f t="array" aca="1" ref="C242" ca="1">SUM(IF(B242=INDEX(BD,,2),INDEX(BD,,9),""))</f>
        <v>270.64999999999998</v>
      </c>
      <c r="D242" s="17">
        <f t="array" aca="1" ref="D242" ca="1">COUNT(IF(B242=INDEX(BD,,2),INDEX(BD,,9),""))</f>
        <v>4</v>
      </c>
      <c r="E242" s="4">
        <f t="array" aca="1" ref="E242" ca="1">IFERROR(AVERAGE(IF(B242=INDEX(BD,,2),INDEX(BD,,9),"")),0)</f>
        <v>67.662499999999994</v>
      </c>
      <c r="F242" s="4">
        <f t="array" aca="1" ref="F242" ca="1">MAX(IF(B242=INDEX(BD,,2),INDEX(BD,,9),""))</f>
        <v>104.75000000000003</v>
      </c>
      <c r="G242" s="4">
        <f t="array" aca="1" ref="G242" ca="1">MIN(IF(B242=INDEX(BD,,2),INDEX(BD,,9),0))</f>
        <v>0</v>
      </c>
    </row>
    <row r="243" spans="2:7" x14ac:dyDescent="0.3">
      <c r="B243" s="29">
        <v>44419</v>
      </c>
      <c r="C243" s="4">
        <f t="array" aca="1" ref="C243" ca="1">SUM(IF(B243=INDEX(BD,,2),INDEX(BD,,9),""))</f>
        <v>353.06666666666666</v>
      </c>
      <c r="D243" s="17">
        <f t="array" aca="1" ref="D243" ca="1">COUNT(IF(B243=INDEX(BD,,2),INDEX(BD,,9),""))</f>
        <v>5</v>
      </c>
      <c r="E243" s="4">
        <f t="array" aca="1" ref="E243" ca="1">IFERROR(AVERAGE(IF(B243=INDEX(BD,,2),INDEX(BD,,9),"")),0)</f>
        <v>70.61333333333333</v>
      </c>
      <c r="F243" s="4">
        <f t="array" aca="1" ref="F243" ca="1">MAX(IF(B243=INDEX(BD,,2),INDEX(BD,,9),""))</f>
        <v>132.66666666666666</v>
      </c>
      <c r="G243" s="4">
        <f t="array" aca="1" ref="G243" ca="1">MIN(IF(B243=INDEX(BD,,2),INDEX(BD,,9),0))</f>
        <v>0</v>
      </c>
    </row>
    <row r="244" spans="2:7" x14ac:dyDescent="0.3">
      <c r="B244" s="29">
        <v>44420</v>
      </c>
      <c r="C244" s="4">
        <f t="array" aca="1" ref="C244" ca="1">SUM(IF(B244=INDEX(BD,,2),INDEX(BD,,9),""))</f>
        <v>341.61666666666667</v>
      </c>
      <c r="D244" s="17">
        <f t="array" aca="1" ref="D244" ca="1">COUNT(IF(B244=INDEX(BD,,2),INDEX(BD,,9),""))</f>
        <v>5</v>
      </c>
      <c r="E244" s="4">
        <f t="array" aca="1" ref="E244" ca="1">IFERROR(AVERAGE(IF(B244=INDEX(BD,,2),INDEX(BD,,9),"")),0)</f>
        <v>68.323333333333338</v>
      </c>
      <c r="F244" s="4">
        <f t="array" aca="1" ref="F244" ca="1">MAX(IF(B244=INDEX(BD,,2),INDEX(BD,,9),""))</f>
        <v>118.5</v>
      </c>
      <c r="G244" s="4">
        <f t="array" aca="1" ref="G244" ca="1">MIN(IF(B244=INDEX(BD,,2),INDEX(BD,,9),0))</f>
        <v>0</v>
      </c>
    </row>
    <row r="245" spans="2:7" x14ac:dyDescent="0.3">
      <c r="B245" s="29">
        <v>44421</v>
      </c>
      <c r="C245" s="4">
        <f t="array" aca="1" ref="C245" ca="1">SUM(IF(B245=INDEX(BD,,2),INDEX(BD,,9),""))</f>
        <v>119.24999999999999</v>
      </c>
      <c r="D245" s="17">
        <f t="array" aca="1" ref="D245" ca="1">COUNT(IF(B245=INDEX(BD,,2),INDEX(BD,,9),""))</f>
        <v>2</v>
      </c>
      <c r="E245" s="4">
        <f t="array" aca="1" ref="E245" ca="1">IFERROR(AVERAGE(IF(B245=INDEX(BD,,2),INDEX(BD,,9),"")),0)</f>
        <v>59.624999999999993</v>
      </c>
      <c r="F245" s="4">
        <f t="array" aca="1" ref="F245" ca="1">MAX(IF(B245=INDEX(BD,,2),INDEX(BD,,9),""))</f>
        <v>67.199999999999989</v>
      </c>
      <c r="G245" s="4">
        <f t="array" aca="1" ref="G245" ca="1">MIN(IF(B245=INDEX(BD,,2),INDEX(BD,,9),0))</f>
        <v>0</v>
      </c>
    </row>
    <row r="246" spans="2:7" x14ac:dyDescent="0.3">
      <c r="B246" s="29">
        <v>44422</v>
      </c>
      <c r="C246" s="4">
        <f t="array" aca="1" ref="C246" ca="1">SUM(IF(B246=INDEX(BD,,2),INDEX(BD,,9),""))</f>
        <v>55.800000000000004</v>
      </c>
      <c r="D246" s="17">
        <f t="array" aca="1" ref="D246" ca="1">COUNT(IF(B246=INDEX(BD,,2),INDEX(BD,,9),""))</f>
        <v>1</v>
      </c>
      <c r="E246" s="4">
        <f t="array" aca="1" ref="E246" ca="1">IFERROR(AVERAGE(IF(B246=INDEX(BD,,2),INDEX(BD,,9),"")),0)</f>
        <v>55.800000000000004</v>
      </c>
      <c r="F246" s="4">
        <f t="array" aca="1" ref="F246" ca="1">MAX(IF(B246=INDEX(BD,,2),INDEX(BD,,9),""))</f>
        <v>55.800000000000004</v>
      </c>
      <c r="G246" s="4">
        <f t="array" aca="1" ref="G246" ca="1">MIN(IF(B246=INDEX(BD,,2),INDEX(BD,,9),0))</f>
        <v>0</v>
      </c>
    </row>
    <row r="247" spans="2:7" x14ac:dyDescent="0.3">
      <c r="B247" s="29">
        <v>44423</v>
      </c>
      <c r="C247" s="4">
        <f t="array" aca="1" ref="C247" ca="1">SUM(IF(B247=INDEX(BD,,2),INDEX(BD,,9),""))</f>
        <v>262.7</v>
      </c>
      <c r="D247" s="17">
        <f t="array" aca="1" ref="D247" ca="1">COUNT(IF(B247=INDEX(BD,,2),INDEX(BD,,9),""))</f>
        <v>4</v>
      </c>
      <c r="E247" s="4">
        <f t="array" aca="1" ref="E247" ca="1">IFERROR(AVERAGE(IF(B247=INDEX(BD,,2),INDEX(BD,,9),"")),0)</f>
        <v>65.674999999999997</v>
      </c>
      <c r="F247" s="4">
        <f t="array" aca="1" ref="F247" ca="1">MAX(IF(B247=INDEX(BD,,2),INDEX(BD,,9),""))</f>
        <v>98.999999999999986</v>
      </c>
      <c r="G247" s="4">
        <f t="array" aca="1" ref="G247" ca="1">MIN(IF(B247=INDEX(BD,,2),INDEX(BD,,9),0))</f>
        <v>0</v>
      </c>
    </row>
    <row r="248" spans="2:7" x14ac:dyDescent="0.3">
      <c r="B248" s="29">
        <v>44424</v>
      </c>
      <c r="C248" s="4">
        <f t="array" aca="1" ref="C248" ca="1">SUM(IF(B248=INDEX(BD,,2),INDEX(BD,,9),""))</f>
        <v>315</v>
      </c>
      <c r="D248" s="17">
        <f t="array" aca="1" ref="D248" ca="1">COUNT(IF(B248=INDEX(BD,,2),INDEX(BD,,9),""))</f>
        <v>4</v>
      </c>
      <c r="E248" s="4">
        <f t="array" aca="1" ref="E248" ca="1">IFERROR(AVERAGE(IF(B248=INDEX(BD,,2),INDEX(BD,,9),"")),0)</f>
        <v>78.75</v>
      </c>
      <c r="F248" s="4">
        <f t="array" aca="1" ref="F248" ca="1">MAX(IF(B248=INDEX(BD,,2),INDEX(BD,,9),""))</f>
        <v>109.99999999999999</v>
      </c>
      <c r="G248" s="4">
        <f t="array" aca="1" ref="G248" ca="1">MIN(IF(B248=INDEX(BD,,2),INDEX(BD,,9),0))</f>
        <v>0</v>
      </c>
    </row>
    <row r="249" spans="2:7" x14ac:dyDescent="0.3">
      <c r="B249" s="29">
        <v>44425</v>
      </c>
      <c r="C249" s="4">
        <f t="array" aca="1" ref="C249" ca="1">SUM(IF(B249=INDEX(BD,,2),INDEX(BD,,9),""))</f>
        <v>122.99999999999999</v>
      </c>
      <c r="D249" s="17">
        <f t="array" aca="1" ref="D249" ca="1">COUNT(IF(B249=INDEX(BD,,2),INDEX(BD,,9),""))</f>
        <v>2</v>
      </c>
      <c r="E249" s="4">
        <f t="array" aca="1" ref="E249" ca="1">IFERROR(AVERAGE(IF(B249=INDEX(BD,,2),INDEX(BD,,9),"")),0)</f>
        <v>61.499999999999993</v>
      </c>
      <c r="F249" s="4">
        <f t="array" aca="1" ref="F249" ca="1">MAX(IF(B249=INDEX(BD,,2),INDEX(BD,,9),""))</f>
        <v>77.25</v>
      </c>
      <c r="G249" s="4">
        <f t="array" aca="1" ref="G249" ca="1">MIN(IF(B249=INDEX(BD,,2),INDEX(BD,,9),0))</f>
        <v>0</v>
      </c>
    </row>
    <row r="250" spans="2:7" x14ac:dyDescent="0.3">
      <c r="B250" s="29">
        <v>44426</v>
      </c>
      <c r="C250" s="4">
        <f t="array" aca="1" ref="C250" ca="1">SUM(IF(B250=INDEX(BD,,2),INDEX(BD,,9),""))</f>
        <v>58.666666666666643</v>
      </c>
      <c r="D250" s="17">
        <f t="array" aca="1" ref="D250" ca="1">COUNT(IF(B250=INDEX(BD,,2),INDEX(BD,,9),""))</f>
        <v>1</v>
      </c>
      <c r="E250" s="4">
        <f t="array" aca="1" ref="E250" ca="1">IFERROR(AVERAGE(IF(B250=INDEX(BD,,2),INDEX(BD,,9),"")),0)</f>
        <v>58.666666666666643</v>
      </c>
      <c r="F250" s="4">
        <f t="array" aca="1" ref="F250" ca="1">MAX(IF(B250=INDEX(BD,,2),INDEX(BD,,9),""))</f>
        <v>58.666666666666643</v>
      </c>
      <c r="G250" s="4">
        <f t="array" aca="1" ref="G250" ca="1">MIN(IF(B250=INDEX(BD,,2),INDEX(BD,,9),0))</f>
        <v>0</v>
      </c>
    </row>
    <row r="251" spans="2:7" x14ac:dyDescent="0.3">
      <c r="B251" s="29">
        <v>44427</v>
      </c>
      <c r="C251" s="4">
        <f t="array" aca="1" ref="C251" ca="1">SUM(IF(B251=INDEX(BD,,2),INDEX(BD,,9),""))</f>
        <v>251.66666666666669</v>
      </c>
      <c r="D251" s="17">
        <f t="array" aca="1" ref="D251" ca="1">COUNT(IF(B251=INDEX(BD,,2),INDEX(BD,,9),""))</f>
        <v>2</v>
      </c>
      <c r="E251" s="4">
        <f t="array" aca="1" ref="E251" ca="1">IFERROR(AVERAGE(IF(B251=INDEX(BD,,2),INDEX(BD,,9),"")),0)</f>
        <v>125.83333333333334</v>
      </c>
      <c r="F251" s="4">
        <f t="array" aca="1" ref="F251" ca="1">MAX(IF(B251=INDEX(BD,,2),INDEX(BD,,9),""))</f>
        <v>140</v>
      </c>
      <c r="G251" s="4">
        <f t="array" aca="1" ref="G251" ca="1">MIN(IF(B251=INDEX(BD,,2),INDEX(BD,,9),0))</f>
        <v>0</v>
      </c>
    </row>
    <row r="252" spans="2:7" x14ac:dyDescent="0.3">
      <c r="B252" s="29">
        <v>44428</v>
      </c>
      <c r="C252" s="4">
        <f t="array" aca="1" ref="C252" ca="1">SUM(IF(B252=INDEX(BD,,2),INDEX(BD,,9),""))</f>
        <v>229.93333333333328</v>
      </c>
      <c r="D252" s="17">
        <f t="array" aca="1" ref="D252" ca="1">COUNT(IF(B252=INDEX(BD,,2),INDEX(BD,,9),""))</f>
        <v>3</v>
      </c>
      <c r="E252" s="4">
        <f t="array" aca="1" ref="E252" ca="1">IFERROR(AVERAGE(IF(B252=INDEX(BD,,2),INDEX(BD,,9),"")),0)</f>
        <v>76.644444444444431</v>
      </c>
      <c r="F252" s="4">
        <f t="array" aca="1" ref="F252" ca="1">MAX(IF(B252=INDEX(BD,,2),INDEX(BD,,9),""))</f>
        <v>91.333333333333286</v>
      </c>
      <c r="G252" s="4">
        <f t="array" aca="1" ref="G252" ca="1">MIN(IF(B252=INDEX(BD,,2),INDEX(BD,,9),0))</f>
        <v>0</v>
      </c>
    </row>
    <row r="253" spans="2:7" x14ac:dyDescent="0.3">
      <c r="B253" s="29">
        <v>44429</v>
      </c>
      <c r="C253" s="4">
        <f t="array" aca="1" ref="C253" ca="1">SUM(IF(B253=INDEX(BD,,2),INDEX(BD,,9),""))</f>
        <v>47.400000000000006</v>
      </c>
      <c r="D253" s="17">
        <f t="array" aca="1" ref="D253" ca="1">COUNT(IF(B253=INDEX(BD,,2),INDEX(BD,,9),""))</f>
        <v>1</v>
      </c>
      <c r="E253" s="4">
        <f t="array" aca="1" ref="E253" ca="1">IFERROR(AVERAGE(IF(B253=INDEX(BD,,2),INDEX(BD,,9),"")),0)</f>
        <v>47.400000000000006</v>
      </c>
      <c r="F253" s="4">
        <f t="array" aca="1" ref="F253" ca="1">MAX(IF(B253=INDEX(BD,,2),INDEX(BD,,9),""))</f>
        <v>47.400000000000006</v>
      </c>
      <c r="G253" s="4">
        <f t="array" aca="1" ref="G253" ca="1">MIN(IF(B253=INDEX(BD,,2),INDEX(BD,,9),0))</f>
        <v>0</v>
      </c>
    </row>
    <row r="254" spans="2:7" x14ac:dyDescent="0.3">
      <c r="B254" s="29">
        <v>44430</v>
      </c>
      <c r="C254" s="4">
        <f t="array" aca="1" ref="C254" ca="1">SUM(IF(B254=INDEX(BD,,2),INDEX(BD,,9),""))</f>
        <v>351.7</v>
      </c>
      <c r="D254" s="17">
        <f t="array" aca="1" ref="D254" ca="1">COUNT(IF(B254=INDEX(BD,,2),INDEX(BD,,9),""))</f>
        <v>6</v>
      </c>
      <c r="E254" s="4">
        <f t="array" aca="1" ref="E254" ca="1">IFERROR(AVERAGE(IF(B254=INDEX(BD,,2),INDEX(BD,,9),"")),0)</f>
        <v>58.616666666666667</v>
      </c>
      <c r="F254" s="4">
        <f t="array" aca="1" ref="F254" ca="1">MAX(IF(B254=INDEX(BD,,2),INDEX(BD,,9),""))</f>
        <v>103.49999999999999</v>
      </c>
      <c r="G254" s="4">
        <f t="array" aca="1" ref="G254" ca="1">MIN(IF(B254=INDEX(BD,,2),INDEX(BD,,9),0))</f>
        <v>0</v>
      </c>
    </row>
    <row r="255" spans="2:7" x14ac:dyDescent="0.3">
      <c r="B255" s="29">
        <v>44431</v>
      </c>
      <c r="C255" s="4">
        <f t="array" aca="1" ref="C255" ca="1">SUM(IF(B255=INDEX(BD,,2),INDEX(BD,,9),""))</f>
        <v>252.33333333333337</v>
      </c>
      <c r="D255" s="17">
        <f t="array" aca="1" ref="D255" ca="1">COUNT(IF(B255=INDEX(BD,,2),INDEX(BD,,9),""))</f>
        <v>3</v>
      </c>
      <c r="E255" s="4">
        <f t="array" aca="1" ref="E255" ca="1">IFERROR(AVERAGE(IF(B255=INDEX(BD,,2),INDEX(BD,,9),"")),0)</f>
        <v>84.111111111111128</v>
      </c>
      <c r="F255" s="4">
        <f t="array" aca="1" ref="F255" ca="1">MAX(IF(B255=INDEX(BD,,2),INDEX(BD,,9),""))</f>
        <v>92.333333333333343</v>
      </c>
      <c r="G255" s="4">
        <f t="array" aca="1" ref="G255" ca="1">MIN(IF(B255=INDEX(BD,,2),INDEX(BD,,9),0))</f>
        <v>0</v>
      </c>
    </row>
    <row r="256" spans="2:7" x14ac:dyDescent="0.3">
      <c r="B256" s="29">
        <v>44432</v>
      </c>
      <c r="C256" s="4">
        <f t="array" aca="1" ref="C256" ca="1">SUM(IF(B256=INDEX(BD,,2),INDEX(BD,,9),""))</f>
        <v>143.20000000000002</v>
      </c>
      <c r="D256" s="17">
        <f t="array" aca="1" ref="D256" ca="1">COUNT(IF(B256=INDEX(BD,,2),INDEX(BD,,9),""))</f>
        <v>2</v>
      </c>
      <c r="E256" s="4">
        <f t="array" aca="1" ref="E256" ca="1">IFERROR(AVERAGE(IF(B256=INDEX(BD,,2),INDEX(BD,,9),"")),0)</f>
        <v>71.600000000000009</v>
      </c>
      <c r="F256" s="4">
        <f t="array" aca="1" ref="F256" ca="1">MAX(IF(B256=INDEX(BD,,2),INDEX(BD,,9),""))</f>
        <v>77.500000000000014</v>
      </c>
      <c r="G256" s="4">
        <f t="array" aca="1" ref="G256" ca="1">MIN(IF(B256=INDEX(BD,,2),INDEX(BD,,9),0))</f>
        <v>0</v>
      </c>
    </row>
    <row r="257" spans="2:7" x14ac:dyDescent="0.3">
      <c r="B257" s="29">
        <v>44433</v>
      </c>
      <c r="C257" s="4">
        <f t="array" aca="1" ref="C257" ca="1">SUM(IF(B257=INDEX(BD,,2),INDEX(BD,,9),""))</f>
        <v>306.75</v>
      </c>
      <c r="D257" s="17">
        <f t="array" aca="1" ref="D257" ca="1">COUNT(IF(B257=INDEX(BD,,2),INDEX(BD,,9),""))</f>
        <v>4</v>
      </c>
      <c r="E257" s="4">
        <f t="array" aca="1" ref="E257" ca="1">IFERROR(AVERAGE(IF(B257=INDEX(BD,,2),INDEX(BD,,9),"")),0)</f>
        <v>76.6875</v>
      </c>
      <c r="F257" s="4">
        <f t="array" aca="1" ref="F257" ca="1">MAX(IF(B257=INDEX(BD,,2),INDEX(BD,,9),""))</f>
        <v>107.25000000000001</v>
      </c>
      <c r="G257" s="4">
        <f t="array" aca="1" ref="G257" ca="1">MIN(IF(B257=INDEX(BD,,2),INDEX(BD,,9),0))</f>
        <v>0</v>
      </c>
    </row>
    <row r="258" spans="2:7" x14ac:dyDescent="0.3">
      <c r="B258" s="29">
        <v>44434</v>
      </c>
      <c r="C258" s="4">
        <f t="array" aca="1" ref="C258" ca="1">SUM(IF(B258=INDEX(BD,,2),INDEX(BD,,9),""))</f>
        <v>130.99999999999997</v>
      </c>
      <c r="D258" s="17">
        <f t="array" aca="1" ref="D258" ca="1">COUNT(IF(B258=INDEX(BD,,2),INDEX(BD,,9),""))</f>
        <v>2</v>
      </c>
      <c r="E258" s="4">
        <f t="array" aca="1" ref="E258" ca="1">IFERROR(AVERAGE(IF(B258=INDEX(BD,,2),INDEX(BD,,9),"")),0)</f>
        <v>65.499999999999986</v>
      </c>
      <c r="F258" s="4">
        <f t="array" aca="1" ref="F258" ca="1">MAX(IF(B258=INDEX(BD,,2),INDEX(BD,,9),""))</f>
        <v>92.333333333333343</v>
      </c>
      <c r="G258" s="4">
        <f t="array" aca="1" ref="G258" ca="1">MIN(IF(B258=INDEX(BD,,2),INDEX(BD,,9),0))</f>
        <v>0</v>
      </c>
    </row>
    <row r="259" spans="2:7" x14ac:dyDescent="0.3">
      <c r="B259" s="29">
        <v>44435</v>
      </c>
      <c r="C259" s="4">
        <f t="array" aca="1" ref="C259" ca="1">SUM(IF(B259=INDEX(BD,,2),INDEX(BD,,9),""))</f>
        <v>0</v>
      </c>
      <c r="D259" s="17">
        <f t="array" aca="1" ref="D259" ca="1">COUNT(IF(B259=INDEX(BD,,2),INDEX(BD,,9),""))</f>
        <v>0</v>
      </c>
      <c r="E259" s="4">
        <f t="array" aca="1" ref="E259" ca="1">IFERROR(AVERAGE(IF(B259=INDEX(BD,,2),INDEX(BD,,9),"")),0)</f>
        <v>0</v>
      </c>
      <c r="F259" s="4">
        <f t="array" aca="1" ref="F259" ca="1">MAX(IF(B259=INDEX(BD,,2),INDEX(BD,,9),""))</f>
        <v>0</v>
      </c>
      <c r="G259" s="4">
        <f t="array" aca="1" ref="G259" ca="1">MIN(IF(B259=INDEX(BD,,2),INDEX(BD,,9),0))</f>
        <v>0</v>
      </c>
    </row>
    <row r="260" spans="2:7" x14ac:dyDescent="0.3">
      <c r="B260" s="29">
        <v>44436</v>
      </c>
      <c r="C260" s="4">
        <f t="array" aca="1" ref="C260" ca="1">SUM(IF(B260=INDEX(BD,,2),INDEX(BD,,9),""))</f>
        <v>162.75</v>
      </c>
      <c r="D260" s="17">
        <f t="array" aca="1" ref="D260" ca="1">COUNT(IF(B260=INDEX(BD,,2),INDEX(BD,,9),""))</f>
        <v>2</v>
      </c>
      <c r="E260" s="4">
        <f t="array" aca="1" ref="E260" ca="1">IFERROR(AVERAGE(IF(B260=INDEX(BD,,2),INDEX(BD,,9),"")),0)</f>
        <v>81.375</v>
      </c>
      <c r="F260" s="4">
        <f t="array" aca="1" ref="F260" ca="1">MAX(IF(B260=INDEX(BD,,2),INDEX(BD,,9),""))</f>
        <v>104.74999999999999</v>
      </c>
      <c r="G260" s="4">
        <f t="array" aca="1" ref="G260" ca="1">MIN(IF(B260=INDEX(BD,,2),INDEX(BD,,9),0))</f>
        <v>0</v>
      </c>
    </row>
    <row r="261" spans="2:7" x14ac:dyDescent="0.3">
      <c r="B261" s="29">
        <v>44437</v>
      </c>
      <c r="C261" s="4">
        <f t="array" aca="1" ref="C261" ca="1">SUM(IF(B261=INDEX(BD,,2),INDEX(BD,,9),""))</f>
        <v>125.49999999999997</v>
      </c>
      <c r="D261" s="17">
        <f t="array" aca="1" ref="D261" ca="1">COUNT(IF(B261=INDEX(BD,,2),INDEX(BD,,9),""))</f>
        <v>2</v>
      </c>
      <c r="E261" s="4">
        <f t="array" aca="1" ref="E261" ca="1">IFERROR(AVERAGE(IF(B261=INDEX(BD,,2),INDEX(BD,,9),"")),0)</f>
        <v>62.749999999999986</v>
      </c>
      <c r="F261" s="4">
        <f t="array" aca="1" ref="F261" ca="1">MAX(IF(B261=INDEX(BD,,2),INDEX(BD,,9),""))</f>
        <v>82</v>
      </c>
      <c r="G261" s="4">
        <f t="array" aca="1" ref="G261" ca="1">MIN(IF(B261=INDEX(BD,,2),INDEX(BD,,9),0))</f>
        <v>0</v>
      </c>
    </row>
    <row r="262" spans="2:7" x14ac:dyDescent="0.3">
      <c r="B262" s="29">
        <v>44438</v>
      </c>
      <c r="C262" s="4">
        <f t="array" aca="1" ref="C262" ca="1">SUM(IF(B262=INDEX(BD,,2),INDEX(BD,,9),""))</f>
        <v>171.33333333333331</v>
      </c>
      <c r="D262" s="17">
        <f t="array" aca="1" ref="D262" ca="1">COUNT(IF(B262=INDEX(BD,,2),INDEX(BD,,9),""))</f>
        <v>1</v>
      </c>
      <c r="E262" s="4">
        <f t="array" aca="1" ref="E262" ca="1">IFERROR(AVERAGE(IF(B262=INDEX(BD,,2),INDEX(BD,,9),"")),0)</f>
        <v>171.33333333333331</v>
      </c>
      <c r="F262" s="4">
        <f t="array" aca="1" ref="F262" ca="1">MAX(IF(B262=INDEX(BD,,2),INDEX(BD,,9),""))</f>
        <v>171.33333333333331</v>
      </c>
      <c r="G262" s="4">
        <f t="array" aca="1" ref="G262" ca="1">MIN(IF(B262=INDEX(BD,,2),INDEX(BD,,9),0))</f>
        <v>0</v>
      </c>
    </row>
    <row r="263" spans="2:7" x14ac:dyDescent="0.3">
      <c r="B263" s="29">
        <v>44439</v>
      </c>
      <c r="C263" s="4">
        <f t="array" aca="1" ref="C263" ca="1">SUM(IF(B263=INDEX(BD,,2),INDEX(BD,,9),""))</f>
        <v>58.000000000000007</v>
      </c>
      <c r="D263" s="17">
        <f t="array" aca="1" ref="D263" ca="1">COUNT(IF(B263=INDEX(BD,,2),INDEX(BD,,9),""))</f>
        <v>1</v>
      </c>
      <c r="E263" s="4">
        <f t="array" aca="1" ref="E263" ca="1">IFERROR(AVERAGE(IF(B263=INDEX(BD,,2),INDEX(BD,,9),"")),0)</f>
        <v>58.000000000000007</v>
      </c>
      <c r="F263" s="4">
        <f t="array" aca="1" ref="F263" ca="1">MAX(IF(B263=INDEX(BD,,2),INDEX(BD,,9),""))</f>
        <v>58.000000000000007</v>
      </c>
      <c r="G263" s="4">
        <f t="array" aca="1" ref="G263" ca="1">MIN(IF(B263=INDEX(BD,,2),INDEX(BD,,9),0))</f>
        <v>0</v>
      </c>
    </row>
    <row r="264" spans="2:7" x14ac:dyDescent="0.3">
      <c r="B264" s="29">
        <v>44440</v>
      </c>
      <c r="C264" s="4">
        <f t="array" aca="1" ref="C264" ca="1">SUM(IF(B264=INDEX(BD,,2),INDEX(BD,,9),""))</f>
        <v>155.88333333333327</v>
      </c>
      <c r="D264" s="17">
        <f t="array" aca="1" ref="D264" ca="1">COUNT(IF(B264=INDEX(BD,,2),INDEX(BD,,9),""))</f>
        <v>3</v>
      </c>
      <c r="E264" s="4">
        <f t="array" aca="1" ref="E264" ca="1">IFERROR(AVERAGE(IF(B264=INDEX(BD,,2),INDEX(BD,,9),"")),0)</f>
        <v>51.961111111111087</v>
      </c>
      <c r="F264" s="4">
        <f t="array" aca="1" ref="F264" ca="1">MAX(IF(B264=INDEX(BD,,2),INDEX(BD,,9),""))</f>
        <v>80.333333333333286</v>
      </c>
      <c r="G264" s="4">
        <f t="array" aca="1" ref="G264" ca="1">MIN(IF(B264=INDEX(BD,,2),INDEX(BD,,9),0))</f>
        <v>0</v>
      </c>
    </row>
    <row r="265" spans="2:7" x14ac:dyDescent="0.3">
      <c r="B265" s="29">
        <v>44441</v>
      </c>
      <c r="C265" s="4">
        <f t="array" aca="1" ref="C265" ca="1">SUM(IF(B265=INDEX(BD,,2),INDEX(BD,,9),""))</f>
        <v>184.61666666666667</v>
      </c>
      <c r="D265" s="17">
        <f t="array" aca="1" ref="D265" ca="1">COUNT(IF(B265=INDEX(BD,,2),INDEX(BD,,9),""))</f>
        <v>4</v>
      </c>
      <c r="E265" s="4">
        <f t="array" aca="1" ref="E265" ca="1">IFERROR(AVERAGE(IF(B265=INDEX(BD,,2),INDEX(BD,,9),"")),0)</f>
        <v>46.154166666666669</v>
      </c>
      <c r="F265" s="4">
        <f t="array" aca="1" ref="F265" ca="1">MAX(IF(B265=INDEX(BD,,2),INDEX(BD,,9),""))</f>
        <v>87</v>
      </c>
      <c r="G265" s="4">
        <f t="array" aca="1" ref="G265" ca="1">MIN(IF(B265=INDEX(BD,,2),INDEX(BD,,9),0))</f>
        <v>0</v>
      </c>
    </row>
    <row r="266" spans="2:7" x14ac:dyDescent="0.3">
      <c r="B266" s="29">
        <v>44442</v>
      </c>
      <c r="C266" s="4">
        <f t="array" aca="1" ref="C266" ca="1">SUM(IF(B266=INDEX(BD,,2),INDEX(BD,,9),""))</f>
        <v>67.249999999999986</v>
      </c>
      <c r="D266" s="17">
        <f t="array" aca="1" ref="D266" ca="1">COUNT(IF(B266=INDEX(BD,,2),INDEX(BD,,9),""))</f>
        <v>1</v>
      </c>
      <c r="E266" s="4">
        <f t="array" aca="1" ref="E266" ca="1">IFERROR(AVERAGE(IF(B266=INDEX(BD,,2),INDEX(BD,,9),"")),0)</f>
        <v>67.249999999999986</v>
      </c>
      <c r="F266" s="4">
        <f t="array" aca="1" ref="F266" ca="1">MAX(IF(B266=INDEX(BD,,2),INDEX(BD,,9),""))</f>
        <v>67.249999999999986</v>
      </c>
      <c r="G266" s="4">
        <f t="array" aca="1" ref="G266" ca="1">MIN(IF(B266=INDEX(BD,,2),INDEX(BD,,9),0))</f>
        <v>0</v>
      </c>
    </row>
    <row r="267" spans="2:7" x14ac:dyDescent="0.3">
      <c r="B267" s="29">
        <v>44443</v>
      </c>
      <c r="C267" s="4">
        <f t="array" aca="1" ref="C267" ca="1">SUM(IF(B267=INDEX(BD,,2),INDEX(BD,,9),""))</f>
        <v>0</v>
      </c>
      <c r="D267" s="17">
        <f t="array" aca="1" ref="D267" ca="1">COUNT(IF(B267=INDEX(BD,,2),INDEX(BD,,9),""))</f>
        <v>0</v>
      </c>
      <c r="E267" s="4">
        <f t="array" aca="1" ref="E267" ca="1">IFERROR(AVERAGE(IF(B267=INDEX(BD,,2),INDEX(BD,,9),"")),0)</f>
        <v>0</v>
      </c>
      <c r="F267" s="4">
        <f t="array" aca="1" ref="F267" ca="1">MAX(IF(B267=INDEX(BD,,2),INDEX(BD,,9),""))</f>
        <v>0</v>
      </c>
      <c r="G267" s="4">
        <f t="array" aca="1" ref="G267" ca="1">MIN(IF(B267=INDEX(BD,,2),INDEX(BD,,9),0))</f>
        <v>0</v>
      </c>
    </row>
    <row r="268" spans="2:7" x14ac:dyDescent="0.3">
      <c r="B268" s="29">
        <v>44444</v>
      </c>
      <c r="C268" s="4">
        <f t="array" aca="1" ref="C268" ca="1">SUM(IF(B268=INDEX(BD,,2),INDEX(BD,,9),""))</f>
        <v>141.94999999999999</v>
      </c>
      <c r="D268" s="17">
        <f t="array" aca="1" ref="D268" ca="1">COUNT(IF(B268=INDEX(BD,,2),INDEX(BD,,9),""))</f>
        <v>2</v>
      </c>
      <c r="E268" s="4">
        <f t="array" aca="1" ref="E268" ca="1">IFERROR(AVERAGE(IF(B268=INDEX(BD,,2),INDEX(BD,,9),"")),0)</f>
        <v>70.974999999999994</v>
      </c>
      <c r="F268" s="4">
        <f t="array" aca="1" ref="F268" ca="1">MAX(IF(B268=INDEX(BD,,2),INDEX(BD,,9),""))</f>
        <v>83</v>
      </c>
      <c r="G268" s="4">
        <f t="array" aca="1" ref="G268" ca="1">MIN(IF(B268=INDEX(BD,,2),INDEX(BD,,9),0))</f>
        <v>0</v>
      </c>
    </row>
    <row r="269" spans="2:7" x14ac:dyDescent="0.3">
      <c r="B269" s="29">
        <v>44445</v>
      </c>
      <c r="C269" s="4">
        <f t="array" aca="1" ref="C269" ca="1">SUM(IF(B269=INDEX(BD,,2),INDEX(BD,,9),""))</f>
        <v>178.75</v>
      </c>
      <c r="D269" s="17">
        <f t="array" aca="1" ref="D269" ca="1">COUNT(IF(B269=INDEX(BD,,2),INDEX(BD,,9),""))</f>
        <v>3</v>
      </c>
      <c r="E269" s="4">
        <f t="array" aca="1" ref="E269" ca="1">IFERROR(AVERAGE(IF(B269=INDEX(BD,,2),INDEX(BD,,9),"")),0)</f>
        <v>59.583333333333336</v>
      </c>
      <c r="F269" s="4">
        <f t="array" aca="1" ref="F269" ca="1">MAX(IF(B269=INDEX(BD,,2),INDEX(BD,,9),""))</f>
        <v>102.8</v>
      </c>
      <c r="G269" s="4">
        <f t="array" aca="1" ref="G269" ca="1">MIN(IF(B269=INDEX(BD,,2),INDEX(BD,,9),0))</f>
        <v>0</v>
      </c>
    </row>
    <row r="270" spans="2:7" x14ac:dyDescent="0.3">
      <c r="B270" s="29">
        <v>44446</v>
      </c>
      <c r="C270" s="4">
        <f t="array" aca="1" ref="C270" ca="1">SUM(IF(B270=INDEX(BD,,2),INDEX(BD,,9),""))</f>
        <v>100.8</v>
      </c>
      <c r="D270" s="17">
        <f t="array" aca="1" ref="D270" ca="1">COUNT(IF(B270=INDEX(BD,,2),INDEX(BD,,9),""))</f>
        <v>2</v>
      </c>
      <c r="E270" s="4">
        <f t="array" aca="1" ref="E270" ca="1">IFERROR(AVERAGE(IF(B270=INDEX(BD,,2),INDEX(BD,,9),"")),0)</f>
        <v>50.4</v>
      </c>
      <c r="F270" s="4">
        <f t="array" aca="1" ref="F270" ca="1">MAX(IF(B270=INDEX(BD,,2),INDEX(BD,,9),""))</f>
        <v>67.999999999999986</v>
      </c>
      <c r="G270" s="4">
        <f t="array" aca="1" ref="G270" ca="1">MIN(IF(B270=INDEX(BD,,2),INDEX(BD,,9),0))</f>
        <v>0</v>
      </c>
    </row>
    <row r="271" spans="2:7" x14ac:dyDescent="0.3">
      <c r="B271" s="29">
        <v>44447</v>
      </c>
      <c r="C271" s="4">
        <f t="array" aca="1" ref="C271" ca="1">SUM(IF(B271=INDEX(BD,,2),INDEX(BD,,9),""))</f>
        <v>0</v>
      </c>
      <c r="D271" s="17">
        <f t="array" aca="1" ref="D271" ca="1">COUNT(IF(B271=INDEX(BD,,2),INDEX(BD,,9),""))</f>
        <v>0</v>
      </c>
      <c r="E271" s="4">
        <f t="array" aca="1" ref="E271" ca="1">IFERROR(AVERAGE(IF(B271=INDEX(BD,,2),INDEX(BD,,9),"")),0)</f>
        <v>0</v>
      </c>
      <c r="F271" s="4">
        <f t="array" aca="1" ref="F271" ca="1">MAX(IF(B271=INDEX(BD,,2),INDEX(BD,,9),""))</f>
        <v>0</v>
      </c>
      <c r="G271" s="4">
        <f t="array" aca="1" ref="G271" ca="1">MIN(IF(B271=INDEX(BD,,2),INDEX(BD,,9),0))</f>
        <v>0</v>
      </c>
    </row>
    <row r="272" spans="2:7" x14ac:dyDescent="0.3">
      <c r="B272" s="29">
        <v>44448</v>
      </c>
      <c r="C272" s="4">
        <f t="array" aca="1" ref="C272" ca="1">SUM(IF(B272=INDEX(BD,,2),INDEX(BD,,9),""))</f>
        <v>195.30000000000007</v>
      </c>
      <c r="D272" s="17">
        <f t="array" aca="1" ref="D272" ca="1">COUNT(IF(B272=INDEX(BD,,2),INDEX(BD,,9),""))</f>
        <v>5</v>
      </c>
      <c r="E272" s="4">
        <f t="array" aca="1" ref="E272" ca="1">IFERROR(AVERAGE(IF(B272=INDEX(BD,,2),INDEX(BD,,9),"")),0)</f>
        <v>39.060000000000016</v>
      </c>
      <c r="F272" s="4">
        <f t="array" aca="1" ref="F272" ca="1">MAX(IF(B272=INDEX(BD,,2),INDEX(BD,,9),""))</f>
        <v>66</v>
      </c>
      <c r="G272" s="4">
        <f t="array" aca="1" ref="G272" ca="1">MIN(IF(B272=INDEX(BD,,2),INDEX(BD,,9),0))</f>
        <v>0</v>
      </c>
    </row>
    <row r="273" spans="2:7" x14ac:dyDescent="0.3">
      <c r="B273" s="29">
        <v>44449</v>
      </c>
      <c r="C273" s="4">
        <f t="array" aca="1" ref="C273" ca="1">SUM(IF(B273=INDEX(BD,,2),INDEX(BD,,9),""))</f>
        <v>143.80000000000001</v>
      </c>
      <c r="D273" s="17">
        <f t="array" aca="1" ref="D273" ca="1">COUNT(IF(B273=INDEX(BD,,2),INDEX(BD,,9),""))</f>
        <v>2</v>
      </c>
      <c r="E273" s="4">
        <f t="array" aca="1" ref="E273" ca="1">IFERROR(AVERAGE(IF(B273=INDEX(BD,,2),INDEX(BD,,9),"")),0)</f>
        <v>71.900000000000006</v>
      </c>
      <c r="F273" s="4">
        <f t="array" aca="1" ref="F273" ca="1">MAX(IF(B273=INDEX(BD,,2),INDEX(BD,,9),""))</f>
        <v>72.000000000000014</v>
      </c>
      <c r="G273" s="4">
        <f t="array" aca="1" ref="G273" ca="1">MIN(IF(B273=INDEX(BD,,2),INDEX(BD,,9),0))</f>
        <v>0</v>
      </c>
    </row>
    <row r="274" spans="2:7" x14ac:dyDescent="0.3">
      <c r="B274" s="29">
        <v>44450</v>
      </c>
      <c r="C274" s="4">
        <f t="array" aca="1" ref="C274" ca="1">SUM(IF(B274=INDEX(BD,,2),INDEX(BD,,9),""))</f>
        <v>0</v>
      </c>
      <c r="D274" s="17">
        <f t="array" aca="1" ref="D274" ca="1">COUNT(IF(B274=INDEX(BD,,2),INDEX(BD,,9),""))</f>
        <v>0</v>
      </c>
      <c r="E274" s="4">
        <f t="array" aca="1" ref="E274" ca="1">IFERROR(AVERAGE(IF(B274=INDEX(BD,,2),INDEX(BD,,9),"")),0)</f>
        <v>0</v>
      </c>
      <c r="F274" s="4">
        <f t="array" aca="1" ref="F274" ca="1">MAX(IF(B274=INDEX(BD,,2),INDEX(BD,,9),""))</f>
        <v>0</v>
      </c>
      <c r="G274" s="4">
        <f t="array" aca="1" ref="G274" ca="1">MIN(IF(B274=INDEX(BD,,2),INDEX(BD,,9),0))</f>
        <v>0</v>
      </c>
    </row>
    <row r="275" spans="2:7" x14ac:dyDescent="0.3">
      <c r="B275" s="29">
        <v>44451</v>
      </c>
      <c r="C275" s="4">
        <f t="array" aca="1" ref="C275" ca="1">SUM(IF(B275=INDEX(BD,,2),INDEX(BD,,9),""))</f>
        <v>21.400000000000006</v>
      </c>
      <c r="D275" s="17">
        <f t="array" aca="1" ref="D275" ca="1">COUNT(IF(B275=INDEX(BD,,2),INDEX(BD,,9),""))</f>
        <v>1</v>
      </c>
      <c r="E275" s="4">
        <f t="array" aca="1" ref="E275" ca="1">IFERROR(AVERAGE(IF(B275=INDEX(BD,,2),INDEX(BD,,9),"")),0)</f>
        <v>21.400000000000006</v>
      </c>
      <c r="F275" s="4">
        <f t="array" aca="1" ref="F275" ca="1">MAX(IF(B275=INDEX(BD,,2),INDEX(BD,,9),""))</f>
        <v>21.400000000000006</v>
      </c>
      <c r="G275" s="4">
        <f t="array" aca="1" ref="G275" ca="1">MIN(IF(B275=INDEX(BD,,2),INDEX(BD,,9),0))</f>
        <v>0</v>
      </c>
    </row>
    <row r="276" spans="2:7" x14ac:dyDescent="0.3">
      <c r="B276" s="29">
        <v>44452</v>
      </c>
      <c r="C276" s="4">
        <f t="array" aca="1" ref="C276" ca="1">SUM(IF(B276=INDEX(BD,,2),INDEX(BD,,9),""))</f>
        <v>61.600000000000009</v>
      </c>
      <c r="D276" s="17">
        <f t="array" aca="1" ref="D276" ca="1">COUNT(IF(B276=INDEX(BD,,2),INDEX(BD,,9),""))</f>
        <v>1</v>
      </c>
      <c r="E276" s="4">
        <f t="array" aca="1" ref="E276" ca="1">IFERROR(AVERAGE(IF(B276=INDEX(BD,,2),INDEX(BD,,9),"")),0)</f>
        <v>61.600000000000009</v>
      </c>
      <c r="F276" s="4">
        <f t="array" aca="1" ref="F276" ca="1">MAX(IF(B276=INDEX(BD,,2),INDEX(BD,,9),""))</f>
        <v>61.600000000000009</v>
      </c>
      <c r="G276" s="4">
        <f t="array" aca="1" ref="G276" ca="1">MIN(IF(B276=INDEX(BD,,2),INDEX(BD,,9),0))</f>
        <v>0</v>
      </c>
    </row>
    <row r="277" spans="2:7" x14ac:dyDescent="0.3">
      <c r="B277" s="29">
        <v>44453</v>
      </c>
      <c r="C277" s="4">
        <f t="array" aca="1" ref="C277" ca="1">SUM(IF(B277=INDEX(BD,,2),INDEX(BD,,9),""))</f>
        <v>40.200000000000003</v>
      </c>
      <c r="D277" s="17">
        <f t="array" aca="1" ref="D277" ca="1">COUNT(IF(B277=INDEX(BD,,2),INDEX(BD,,9),""))</f>
        <v>1</v>
      </c>
      <c r="E277" s="4">
        <f t="array" aca="1" ref="E277" ca="1">IFERROR(AVERAGE(IF(B277=INDEX(BD,,2),INDEX(BD,,9),"")),0)</f>
        <v>40.200000000000003</v>
      </c>
      <c r="F277" s="4">
        <f t="array" aca="1" ref="F277" ca="1">MAX(IF(B277=INDEX(BD,,2),INDEX(BD,,9),""))</f>
        <v>40.200000000000003</v>
      </c>
      <c r="G277" s="4">
        <f t="array" aca="1" ref="G277" ca="1">MIN(IF(B277=INDEX(BD,,2),INDEX(BD,,9),0))</f>
        <v>0</v>
      </c>
    </row>
    <row r="278" spans="2:7" x14ac:dyDescent="0.3">
      <c r="B278" s="29">
        <v>44454</v>
      </c>
      <c r="C278" s="4">
        <f t="array" aca="1" ref="C278" ca="1">SUM(IF(B278=INDEX(BD,,2),INDEX(BD,,9),""))</f>
        <v>259.5</v>
      </c>
      <c r="D278" s="17">
        <f t="array" aca="1" ref="D278" ca="1">COUNT(IF(B278=INDEX(BD,,2),INDEX(BD,,9),""))</f>
        <v>4</v>
      </c>
      <c r="E278" s="4">
        <f t="array" aca="1" ref="E278" ca="1">IFERROR(AVERAGE(IF(B278=INDEX(BD,,2),INDEX(BD,,9),"")),0)</f>
        <v>64.875</v>
      </c>
      <c r="F278" s="4">
        <f t="array" aca="1" ref="F278" ca="1">MAX(IF(B278=INDEX(BD,,2),INDEX(BD,,9),""))</f>
        <v>89.25</v>
      </c>
      <c r="G278" s="4">
        <f t="array" aca="1" ref="G278" ca="1">MIN(IF(B278=INDEX(BD,,2),INDEX(BD,,9),0))</f>
        <v>0</v>
      </c>
    </row>
    <row r="279" spans="2:7" x14ac:dyDescent="0.3">
      <c r="B279" s="29">
        <v>44455</v>
      </c>
      <c r="C279" s="4">
        <f t="array" aca="1" ref="C279" ca="1">SUM(IF(B279=INDEX(BD,,2),INDEX(BD,,9),""))</f>
        <v>53.800000000000011</v>
      </c>
      <c r="D279" s="17">
        <f t="array" aca="1" ref="D279" ca="1">COUNT(IF(B279=INDEX(BD,,2),INDEX(BD,,9),""))</f>
        <v>1</v>
      </c>
      <c r="E279" s="4">
        <f t="array" aca="1" ref="E279" ca="1">IFERROR(AVERAGE(IF(B279=INDEX(BD,,2),INDEX(BD,,9),"")),0)</f>
        <v>53.800000000000011</v>
      </c>
      <c r="F279" s="4">
        <f t="array" aca="1" ref="F279" ca="1">MAX(IF(B279=INDEX(BD,,2),INDEX(BD,,9),""))</f>
        <v>53.800000000000011</v>
      </c>
      <c r="G279" s="4">
        <f t="array" aca="1" ref="G279" ca="1">MIN(IF(B279=INDEX(BD,,2),INDEX(BD,,9),0))</f>
        <v>0</v>
      </c>
    </row>
    <row r="280" spans="2:7" x14ac:dyDescent="0.3">
      <c r="B280" s="29">
        <v>44456</v>
      </c>
      <c r="C280" s="4">
        <f t="array" aca="1" ref="C280" ca="1">SUM(IF(B280=INDEX(BD,,2),INDEX(BD,,9),""))</f>
        <v>203.03333333333333</v>
      </c>
      <c r="D280" s="17">
        <f t="array" aca="1" ref="D280" ca="1">COUNT(IF(B280=INDEX(BD,,2),INDEX(BD,,9),""))</f>
        <v>4</v>
      </c>
      <c r="E280" s="4">
        <f t="array" aca="1" ref="E280" ca="1">IFERROR(AVERAGE(IF(B280=INDEX(BD,,2),INDEX(BD,,9),"")),0)</f>
        <v>50.758333333333333</v>
      </c>
      <c r="F280" s="4">
        <f t="array" aca="1" ref="F280" ca="1">MAX(IF(B280=INDEX(BD,,2),INDEX(BD,,9),""))</f>
        <v>108.75</v>
      </c>
      <c r="G280" s="4">
        <f t="array" aca="1" ref="G280" ca="1">MIN(IF(B280=INDEX(BD,,2),INDEX(BD,,9),0))</f>
        <v>0</v>
      </c>
    </row>
    <row r="281" spans="2:7" x14ac:dyDescent="0.3">
      <c r="B281" s="29">
        <v>44457</v>
      </c>
      <c r="C281" s="4">
        <f t="array" aca="1" ref="C281" ca="1">SUM(IF(B281=INDEX(BD,,2),INDEX(BD,,9),""))</f>
        <v>548.65000000000009</v>
      </c>
      <c r="D281" s="17">
        <f t="array" aca="1" ref="D281" ca="1">COUNT(IF(B281=INDEX(BD,,2),INDEX(BD,,9),""))</f>
        <v>7</v>
      </c>
      <c r="E281" s="4">
        <f t="array" aca="1" ref="E281" ca="1">IFERROR(AVERAGE(IF(B281=INDEX(BD,,2),INDEX(BD,,9),"")),0)</f>
        <v>78.378571428571448</v>
      </c>
      <c r="F281" s="4">
        <f t="array" aca="1" ref="F281" ca="1">MAX(IF(B281=INDEX(BD,,2),INDEX(BD,,9),""))</f>
        <v>128</v>
      </c>
      <c r="G281" s="4">
        <f t="array" aca="1" ref="G281" ca="1">MIN(IF(B281=INDEX(BD,,2),INDEX(BD,,9),0))</f>
        <v>0</v>
      </c>
    </row>
    <row r="282" spans="2:7" x14ac:dyDescent="0.3">
      <c r="B282" s="29">
        <v>44458</v>
      </c>
      <c r="C282" s="4">
        <f t="array" aca="1" ref="C282" ca="1">SUM(IF(B282=INDEX(BD,,2),INDEX(BD,,9),""))</f>
        <v>165</v>
      </c>
      <c r="D282" s="17">
        <f t="array" aca="1" ref="D282" ca="1">COUNT(IF(B282=INDEX(BD,,2),INDEX(BD,,9),""))</f>
        <v>3</v>
      </c>
      <c r="E282" s="4">
        <f t="array" aca="1" ref="E282" ca="1">IFERROR(AVERAGE(IF(B282=INDEX(BD,,2),INDEX(BD,,9),"")),0)</f>
        <v>55</v>
      </c>
      <c r="F282" s="4">
        <f t="array" aca="1" ref="F282" ca="1">MAX(IF(B282=INDEX(BD,,2),INDEX(BD,,9),""))</f>
        <v>74.999999999999972</v>
      </c>
      <c r="G282" s="4">
        <f t="array" aca="1" ref="G282" ca="1">MIN(IF(B282=INDEX(BD,,2),INDEX(BD,,9),0))</f>
        <v>0</v>
      </c>
    </row>
    <row r="283" spans="2:7" x14ac:dyDescent="0.3">
      <c r="B283" s="29">
        <v>44459</v>
      </c>
      <c r="C283" s="4">
        <f t="array" aca="1" ref="C283" ca="1">SUM(IF(B283=INDEX(BD,,2),INDEX(BD,,9),""))</f>
        <v>122.75</v>
      </c>
      <c r="D283" s="17">
        <f t="array" aca="1" ref="D283" ca="1">COUNT(IF(B283=INDEX(BD,,2),INDEX(BD,,9),""))</f>
        <v>2</v>
      </c>
      <c r="E283" s="4">
        <f t="array" aca="1" ref="E283" ca="1">IFERROR(AVERAGE(IF(B283=INDEX(BD,,2),INDEX(BD,,9),"")),0)</f>
        <v>61.375</v>
      </c>
      <c r="F283" s="4">
        <f t="array" aca="1" ref="F283" ca="1">MAX(IF(B283=INDEX(BD,,2),INDEX(BD,,9),""))</f>
        <v>72.75</v>
      </c>
      <c r="G283" s="4">
        <f t="array" aca="1" ref="G283" ca="1">MIN(IF(B283=INDEX(BD,,2),INDEX(BD,,9),0))</f>
        <v>0</v>
      </c>
    </row>
    <row r="284" spans="2:7" x14ac:dyDescent="0.3">
      <c r="B284" s="29">
        <v>44460</v>
      </c>
      <c r="C284" s="4">
        <f t="array" aca="1" ref="C284" ca="1">SUM(IF(B284=INDEX(BD,,2),INDEX(BD,,9),""))</f>
        <v>234.81666666666672</v>
      </c>
      <c r="D284" s="17">
        <f t="array" aca="1" ref="D284" ca="1">COUNT(IF(B284=INDEX(BD,,2),INDEX(BD,,9),""))</f>
        <v>4</v>
      </c>
      <c r="E284" s="4">
        <f t="array" aca="1" ref="E284" ca="1">IFERROR(AVERAGE(IF(B284=INDEX(BD,,2),INDEX(BD,,9),"")),0)</f>
        <v>58.70416666666668</v>
      </c>
      <c r="F284" s="4">
        <f t="array" aca="1" ref="F284" ca="1">MAX(IF(B284=INDEX(BD,,2),INDEX(BD,,9),""))</f>
        <v>96.6666666666667</v>
      </c>
      <c r="G284" s="4">
        <f t="array" aca="1" ref="G284" ca="1">MIN(IF(B284=INDEX(BD,,2),INDEX(BD,,9),0))</f>
        <v>0</v>
      </c>
    </row>
    <row r="285" spans="2:7" x14ac:dyDescent="0.3">
      <c r="B285" s="29">
        <v>44461</v>
      </c>
      <c r="C285" s="4">
        <f t="array" aca="1" ref="C285" ca="1">SUM(IF(B285=INDEX(BD,,2),INDEX(BD,,9),""))</f>
        <v>31.200000000000003</v>
      </c>
      <c r="D285" s="17">
        <f t="array" aca="1" ref="D285" ca="1">COUNT(IF(B285=INDEX(BD,,2),INDEX(BD,,9),""))</f>
        <v>1</v>
      </c>
      <c r="E285" s="4">
        <f t="array" aca="1" ref="E285" ca="1">IFERROR(AVERAGE(IF(B285=INDEX(BD,,2),INDEX(BD,,9),"")),0)</f>
        <v>31.200000000000003</v>
      </c>
      <c r="F285" s="4">
        <f t="array" aca="1" ref="F285" ca="1">MAX(IF(B285=INDEX(BD,,2),INDEX(BD,,9),""))</f>
        <v>31.200000000000003</v>
      </c>
      <c r="G285" s="4">
        <f t="array" aca="1" ref="G285" ca="1">MIN(IF(B285=INDEX(BD,,2),INDEX(BD,,9),0))</f>
        <v>0</v>
      </c>
    </row>
    <row r="286" spans="2:7" x14ac:dyDescent="0.3">
      <c r="B286" s="29">
        <v>44462</v>
      </c>
      <c r="C286" s="4">
        <f t="array" aca="1" ref="C286" ca="1">SUM(IF(B286=INDEX(BD,,2),INDEX(BD,,9),""))</f>
        <v>96.749999999999972</v>
      </c>
      <c r="D286" s="17">
        <f t="array" aca="1" ref="D286" ca="1">COUNT(IF(B286=INDEX(BD,,2),INDEX(BD,,9),""))</f>
        <v>1</v>
      </c>
      <c r="E286" s="4">
        <f t="array" aca="1" ref="E286" ca="1">IFERROR(AVERAGE(IF(B286=INDEX(BD,,2),INDEX(BD,,9),"")),0)</f>
        <v>96.749999999999972</v>
      </c>
      <c r="F286" s="4">
        <f t="array" aca="1" ref="F286" ca="1">MAX(IF(B286=INDEX(BD,,2),INDEX(BD,,9),""))</f>
        <v>96.749999999999972</v>
      </c>
      <c r="G286" s="4">
        <f t="array" aca="1" ref="G286" ca="1">MIN(IF(B286=INDEX(BD,,2),INDEX(BD,,9),0))</f>
        <v>0</v>
      </c>
    </row>
    <row r="287" spans="2:7" x14ac:dyDescent="0.3">
      <c r="B287" s="29">
        <v>44463</v>
      </c>
      <c r="C287" s="4">
        <f t="array" aca="1" ref="C287" ca="1">SUM(IF(B287=INDEX(BD,,2),INDEX(BD,,9),""))</f>
        <v>27.9</v>
      </c>
      <c r="D287" s="17">
        <f t="array" aca="1" ref="D287" ca="1">COUNT(IF(B287=INDEX(BD,,2),INDEX(BD,,9),""))</f>
        <v>1</v>
      </c>
      <c r="E287" s="4">
        <f t="array" aca="1" ref="E287" ca="1">IFERROR(AVERAGE(IF(B287=INDEX(BD,,2),INDEX(BD,,9),"")),0)</f>
        <v>27.9</v>
      </c>
      <c r="F287" s="4">
        <f t="array" aca="1" ref="F287" ca="1">MAX(IF(B287=INDEX(BD,,2),INDEX(BD,,9),""))</f>
        <v>27.9</v>
      </c>
      <c r="G287" s="4">
        <f t="array" aca="1" ref="G287" ca="1">MIN(IF(B287=INDEX(BD,,2),INDEX(BD,,9),0))</f>
        <v>0</v>
      </c>
    </row>
    <row r="288" spans="2:7" x14ac:dyDescent="0.3">
      <c r="B288" s="29">
        <v>44464</v>
      </c>
      <c r="C288" s="4">
        <f t="array" aca="1" ref="C288" ca="1">SUM(IF(B288=INDEX(BD,,2),INDEX(BD,,9),""))</f>
        <v>38.999999999999972</v>
      </c>
      <c r="D288" s="17">
        <f t="array" aca="1" ref="D288" ca="1">COUNT(IF(B288=INDEX(BD,,2),INDEX(BD,,9),""))</f>
        <v>1</v>
      </c>
      <c r="E288" s="4">
        <f t="array" aca="1" ref="E288" ca="1">IFERROR(AVERAGE(IF(B288=INDEX(BD,,2),INDEX(BD,,9),"")),0)</f>
        <v>38.999999999999972</v>
      </c>
      <c r="F288" s="4">
        <f t="array" aca="1" ref="F288" ca="1">MAX(IF(B288=INDEX(BD,,2),INDEX(BD,,9),""))</f>
        <v>38.999999999999972</v>
      </c>
      <c r="G288" s="4">
        <f t="array" aca="1" ref="G288" ca="1">MIN(IF(B288=INDEX(BD,,2),INDEX(BD,,9),0))</f>
        <v>0</v>
      </c>
    </row>
    <row r="289" spans="2:7" x14ac:dyDescent="0.3">
      <c r="B289" s="29">
        <v>44465</v>
      </c>
      <c r="C289" s="4">
        <f t="array" aca="1" ref="C289" ca="1">SUM(IF(B289=INDEX(BD,,2),INDEX(BD,,9),""))</f>
        <v>101.33333333333333</v>
      </c>
      <c r="D289" s="17">
        <f t="array" aca="1" ref="D289" ca="1">COUNT(IF(B289=INDEX(BD,,2),INDEX(BD,,9),""))</f>
        <v>1</v>
      </c>
      <c r="E289" s="4">
        <f t="array" aca="1" ref="E289" ca="1">IFERROR(AVERAGE(IF(B289=INDEX(BD,,2),INDEX(BD,,9),"")),0)</f>
        <v>101.33333333333333</v>
      </c>
      <c r="F289" s="4">
        <f t="array" aca="1" ref="F289" ca="1">MAX(IF(B289=INDEX(BD,,2),INDEX(BD,,9),""))</f>
        <v>101.33333333333333</v>
      </c>
      <c r="G289" s="4">
        <f t="array" aca="1" ref="G289" ca="1">MIN(IF(B289=INDEX(BD,,2),INDEX(BD,,9),0))</f>
        <v>0</v>
      </c>
    </row>
    <row r="290" spans="2:7" x14ac:dyDescent="0.3">
      <c r="B290" s="29">
        <v>44466</v>
      </c>
      <c r="C290" s="4">
        <f t="array" aca="1" ref="C290" ca="1">SUM(IF(B290=INDEX(BD,,2),INDEX(BD,,9),""))</f>
        <v>0</v>
      </c>
      <c r="D290" s="17">
        <f t="array" aca="1" ref="D290" ca="1">COUNT(IF(B290=INDEX(BD,,2),INDEX(BD,,9),""))</f>
        <v>0</v>
      </c>
      <c r="E290" s="4">
        <f t="array" aca="1" ref="E290" ca="1">IFERROR(AVERAGE(IF(B290=INDEX(BD,,2),INDEX(BD,,9),"")),0)</f>
        <v>0</v>
      </c>
      <c r="F290" s="4">
        <f t="array" aca="1" ref="F290" ca="1">MAX(IF(B290=INDEX(BD,,2),INDEX(BD,,9),""))</f>
        <v>0</v>
      </c>
      <c r="G290" s="4">
        <f t="array" aca="1" ref="G290" ca="1">MIN(IF(B290=INDEX(BD,,2),INDEX(BD,,9),0))</f>
        <v>0</v>
      </c>
    </row>
    <row r="291" spans="2:7" x14ac:dyDescent="0.3">
      <c r="B291" s="29">
        <v>44467</v>
      </c>
      <c r="C291" s="4">
        <f t="array" aca="1" ref="C291" ca="1">SUM(IF(B291=INDEX(BD,,2),INDEX(BD,,9),""))</f>
        <v>100.99999999999997</v>
      </c>
      <c r="D291" s="17">
        <f t="array" aca="1" ref="D291" ca="1">COUNT(IF(B291=INDEX(BD,,2),INDEX(BD,,9),""))</f>
        <v>1</v>
      </c>
      <c r="E291" s="4">
        <f t="array" aca="1" ref="E291" ca="1">IFERROR(AVERAGE(IF(B291=INDEX(BD,,2),INDEX(BD,,9),"")),0)</f>
        <v>100.99999999999997</v>
      </c>
      <c r="F291" s="4">
        <f t="array" aca="1" ref="F291" ca="1">MAX(IF(B291=INDEX(BD,,2),INDEX(BD,,9),""))</f>
        <v>100.99999999999997</v>
      </c>
      <c r="G291" s="4">
        <f t="array" aca="1" ref="G291" ca="1">MIN(IF(B291=INDEX(BD,,2),INDEX(BD,,9),0))</f>
        <v>0</v>
      </c>
    </row>
    <row r="292" spans="2:7" x14ac:dyDescent="0.3">
      <c r="B292" s="29">
        <v>44468</v>
      </c>
      <c r="C292" s="4">
        <f t="array" aca="1" ref="C292" ca="1">SUM(IF(B292=INDEX(BD,,2),INDEX(BD,,9),""))</f>
        <v>59.099999999999994</v>
      </c>
      <c r="D292" s="17">
        <f t="array" aca="1" ref="D292" ca="1">COUNT(IF(B292=INDEX(BD,,2),INDEX(BD,,9),""))</f>
        <v>2</v>
      </c>
      <c r="E292" s="4">
        <f t="array" aca="1" ref="E292" ca="1">IFERROR(AVERAGE(IF(B292=INDEX(BD,,2),INDEX(BD,,9),"")),0)</f>
        <v>29.549999999999997</v>
      </c>
      <c r="F292" s="4">
        <f t="array" aca="1" ref="F292" ca="1">MAX(IF(B292=INDEX(BD,,2),INDEX(BD,,9),""))</f>
        <v>50.25</v>
      </c>
      <c r="G292" s="4">
        <f t="array" aca="1" ref="G292" ca="1">MIN(IF(B292=INDEX(BD,,2),INDEX(BD,,9),0))</f>
        <v>0</v>
      </c>
    </row>
    <row r="293" spans="2:7" x14ac:dyDescent="0.3">
      <c r="B293" s="29">
        <v>44469</v>
      </c>
      <c r="C293" s="4">
        <f t="array" aca="1" ref="C293" ca="1">SUM(IF(B293=INDEX(BD,,2),INDEX(BD,,9),""))</f>
        <v>109.33333333333331</v>
      </c>
      <c r="D293" s="17">
        <f t="array" aca="1" ref="D293" ca="1">COUNT(IF(B293=INDEX(BD,,2),INDEX(BD,,9),""))</f>
        <v>1</v>
      </c>
      <c r="E293" s="4">
        <f t="array" aca="1" ref="E293" ca="1">IFERROR(AVERAGE(IF(B293=INDEX(BD,,2),INDEX(BD,,9),"")),0)</f>
        <v>109.33333333333331</v>
      </c>
      <c r="F293" s="4">
        <f t="array" aca="1" ref="F293" ca="1">MAX(IF(B293=INDEX(BD,,2),INDEX(BD,,9),""))</f>
        <v>109.33333333333331</v>
      </c>
      <c r="G293" s="4">
        <f t="array" aca="1" ref="G293" ca="1">MIN(IF(B293=INDEX(BD,,2),INDEX(BD,,9),0))</f>
        <v>0</v>
      </c>
    </row>
    <row r="294" spans="2:7" x14ac:dyDescent="0.3">
      <c r="B294" s="29">
        <v>44470</v>
      </c>
      <c r="C294" s="4">
        <f t="array" aca="1" ref="C294" ca="1">SUM(IF(B294=INDEX(BD,,2),INDEX(BD,,9),""))</f>
        <v>39.899999999999984</v>
      </c>
      <c r="D294" s="17">
        <f t="array" aca="1" ref="D294" ca="1">COUNT(IF(B294=INDEX(BD,,2),INDEX(BD,,9),""))</f>
        <v>1</v>
      </c>
      <c r="E294" s="4">
        <f t="array" aca="1" ref="E294" ca="1">IFERROR(AVERAGE(IF(B294=INDEX(BD,,2),INDEX(BD,,9),"")),0)</f>
        <v>39.899999999999984</v>
      </c>
      <c r="F294" s="4">
        <f t="array" aca="1" ref="F294" ca="1">MAX(IF(B294=INDEX(BD,,2),INDEX(BD,,9),""))</f>
        <v>39.899999999999984</v>
      </c>
      <c r="G294" s="4">
        <f t="array" aca="1" ref="G294" ca="1">MIN(IF(B294=INDEX(BD,,2),INDEX(BD,,9),0))</f>
        <v>0</v>
      </c>
    </row>
    <row r="295" spans="2:7" x14ac:dyDescent="0.3">
      <c r="B295" s="29">
        <v>44471</v>
      </c>
      <c r="C295" s="4">
        <f t="array" aca="1" ref="C295" ca="1">SUM(IF(B295=INDEX(BD,,2),INDEX(BD,,9),""))</f>
        <v>0</v>
      </c>
      <c r="D295" s="17">
        <f t="array" aca="1" ref="D295" ca="1">COUNT(IF(B295=INDEX(BD,,2),INDEX(BD,,9),""))</f>
        <v>0</v>
      </c>
      <c r="E295" s="4">
        <f t="array" aca="1" ref="E295" ca="1">IFERROR(AVERAGE(IF(B295=INDEX(BD,,2),INDEX(BD,,9),"")),0)</f>
        <v>0</v>
      </c>
      <c r="F295" s="4">
        <f t="array" aca="1" ref="F295" ca="1">MAX(IF(B295=INDEX(BD,,2),INDEX(BD,,9),""))</f>
        <v>0</v>
      </c>
      <c r="G295" s="4">
        <f t="array" aca="1" ref="G295" ca="1">MIN(IF(B295=INDEX(BD,,2),INDEX(BD,,9),0))</f>
        <v>0</v>
      </c>
    </row>
    <row r="296" spans="2:7" x14ac:dyDescent="0.3">
      <c r="B296" s="29">
        <v>44472</v>
      </c>
      <c r="C296" s="4">
        <f t="array" aca="1" ref="C296" ca="1">SUM(IF(B296=INDEX(BD,,2),INDEX(BD,,9),""))</f>
        <v>0</v>
      </c>
      <c r="D296" s="17">
        <f t="array" aca="1" ref="D296" ca="1">COUNT(IF(B296=INDEX(BD,,2),INDEX(BD,,9),""))</f>
        <v>0</v>
      </c>
      <c r="E296" s="4">
        <f t="array" aca="1" ref="E296" ca="1">IFERROR(AVERAGE(IF(B296=INDEX(BD,,2),INDEX(BD,,9),"")),0)</f>
        <v>0</v>
      </c>
      <c r="F296" s="4">
        <f t="array" aca="1" ref="F296" ca="1">MAX(IF(B296=INDEX(BD,,2),INDEX(BD,,9),""))</f>
        <v>0</v>
      </c>
      <c r="G296" s="4">
        <f t="array" aca="1" ref="G296" ca="1">MIN(IF(B296=INDEX(BD,,2),INDEX(BD,,9),0))</f>
        <v>0</v>
      </c>
    </row>
    <row r="297" spans="2:7" x14ac:dyDescent="0.3">
      <c r="B297" s="29">
        <v>44473</v>
      </c>
      <c r="C297" s="4">
        <f t="array" aca="1" ref="C297" ca="1">SUM(IF(B297=INDEX(BD,,2),INDEX(BD,,9),""))</f>
        <v>0</v>
      </c>
      <c r="D297" s="17">
        <f t="array" aca="1" ref="D297" ca="1">COUNT(IF(B297=INDEX(BD,,2),INDEX(BD,,9),""))</f>
        <v>0</v>
      </c>
      <c r="E297" s="4">
        <f t="array" aca="1" ref="E297" ca="1">IFERROR(AVERAGE(IF(B297=INDEX(BD,,2),INDEX(BD,,9),"")),0)</f>
        <v>0</v>
      </c>
      <c r="F297" s="4">
        <f t="array" aca="1" ref="F297" ca="1">MAX(IF(B297=INDEX(BD,,2),INDEX(BD,,9),""))</f>
        <v>0</v>
      </c>
      <c r="G297" s="4">
        <f t="array" aca="1" ref="G297" ca="1">MIN(IF(B297=INDEX(BD,,2),INDEX(BD,,9),0))</f>
        <v>0</v>
      </c>
    </row>
    <row r="298" spans="2:7" x14ac:dyDescent="0.3">
      <c r="B298" s="29">
        <v>44474</v>
      </c>
      <c r="C298" s="4">
        <f t="array" aca="1" ref="C298" ca="1">SUM(IF(B298=INDEX(BD,,2),INDEX(BD,,9),""))</f>
        <v>0</v>
      </c>
      <c r="D298" s="17">
        <f t="array" aca="1" ref="D298" ca="1">COUNT(IF(B298=INDEX(BD,,2),INDEX(BD,,9),""))</f>
        <v>0</v>
      </c>
      <c r="E298" s="4">
        <f t="array" aca="1" ref="E298" ca="1">IFERROR(AVERAGE(IF(B298=INDEX(BD,,2),INDEX(BD,,9),"")),0)</f>
        <v>0</v>
      </c>
      <c r="F298" s="4">
        <f t="array" aca="1" ref="F298" ca="1">MAX(IF(B298=INDEX(BD,,2),INDEX(BD,,9),""))</f>
        <v>0</v>
      </c>
      <c r="G298" s="4">
        <f t="array" aca="1" ref="G298" ca="1">MIN(IF(B298=INDEX(BD,,2),INDEX(BD,,9),0))</f>
        <v>0</v>
      </c>
    </row>
    <row r="299" spans="2:7" x14ac:dyDescent="0.3">
      <c r="B299" s="29">
        <v>44475</v>
      </c>
      <c r="C299" s="4">
        <f t="array" aca="1" ref="C299" ca="1">SUM(IF(B299=INDEX(BD,,2),INDEX(BD,,9),""))</f>
        <v>0</v>
      </c>
      <c r="D299" s="17">
        <f t="array" aca="1" ref="D299" ca="1">COUNT(IF(B299=INDEX(BD,,2),INDEX(BD,,9),""))</f>
        <v>0</v>
      </c>
      <c r="E299" s="4">
        <f t="array" aca="1" ref="E299" ca="1">IFERROR(AVERAGE(IF(B299=INDEX(BD,,2),INDEX(BD,,9),"")),0)</f>
        <v>0</v>
      </c>
      <c r="F299" s="4">
        <f t="array" aca="1" ref="F299" ca="1">MAX(IF(B299=INDEX(BD,,2),INDEX(BD,,9),""))</f>
        <v>0</v>
      </c>
      <c r="G299" s="4">
        <f t="array" aca="1" ref="G299" ca="1">MIN(IF(B299=INDEX(BD,,2),INDEX(BD,,9),0))</f>
        <v>0</v>
      </c>
    </row>
    <row r="300" spans="2:7" x14ac:dyDescent="0.3">
      <c r="B300" s="29">
        <v>44476</v>
      </c>
      <c r="C300" s="4">
        <f t="array" aca="1" ref="C300" ca="1">SUM(IF(B300=INDEX(BD,,2),INDEX(BD,,9),""))</f>
        <v>0</v>
      </c>
      <c r="D300" s="17">
        <f t="array" aca="1" ref="D300" ca="1">COUNT(IF(B300=INDEX(BD,,2),INDEX(BD,,9),""))</f>
        <v>0</v>
      </c>
      <c r="E300" s="4">
        <f t="array" aca="1" ref="E300" ca="1">IFERROR(AVERAGE(IF(B300=INDEX(BD,,2),INDEX(BD,,9),"")),0)</f>
        <v>0</v>
      </c>
      <c r="F300" s="4">
        <f t="array" aca="1" ref="F300" ca="1">MAX(IF(B300=INDEX(BD,,2),INDEX(BD,,9),""))</f>
        <v>0</v>
      </c>
      <c r="G300" s="4">
        <f t="array" aca="1" ref="G300" ca="1">MIN(IF(B300=INDEX(BD,,2),INDEX(BD,,9),0))</f>
        <v>0</v>
      </c>
    </row>
    <row r="301" spans="2:7" x14ac:dyDescent="0.3">
      <c r="B301" s="29">
        <v>44477</v>
      </c>
      <c r="C301" s="4">
        <f t="array" aca="1" ref="C301" ca="1">SUM(IF(B301=INDEX(BD,,2),INDEX(BD,,9),""))</f>
        <v>0</v>
      </c>
      <c r="D301" s="17">
        <f t="array" aca="1" ref="D301" ca="1">COUNT(IF(B301=INDEX(BD,,2),INDEX(BD,,9),""))</f>
        <v>0</v>
      </c>
      <c r="E301" s="4">
        <f t="array" aca="1" ref="E301" ca="1">IFERROR(AVERAGE(IF(B301=INDEX(BD,,2),INDEX(BD,,9),"")),0)</f>
        <v>0</v>
      </c>
      <c r="F301" s="4">
        <f t="array" aca="1" ref="F301" ca="1">MAX(IF(B301=INDEX(BD,,2),INDEX(BD,,9),""))</f>
        <v>0</v>
      </c>
      <c r="G301" s="4">
        <f t="array" aca="1" ref="G301" ca="1">MIN(IF(B301=INDEX(BD,,2),INDEX(BD,,9),0))</f>
        <v>0</v>
      </c>
    </row>
    <row r="302" spans="2:7" x14ac:dyDescent="0.3">
      <c r="B302" s="29">
        <v>44478</v>
      </c>
      <c r="C302" s="4">
        <f t="array" aca="1" ref="C302" ca="1">SUM(IF(B302=INDEX(BD,,2),INDEX(BD,,9),""))</f>
        <v>0</v>
      </c>
      <c r="D302" s="17">
        <f t="array" aca="1" ref="D302" ca="1">COUNT(IF(B302=INDEX(BD,,2),INDEX(BD,,9),""))</f>
        <v>0</v>
      </c>
      <c r="E302" s="4">
        <f t="array" aca="1" ref="E302" ca="1">IFERROR(AVERAGE(IF(B302=INDEX(BD,,2),INDEX(BD,,9),"")),0)</f>
        <v>0</v>
      </c>
      <c r="F302" s="4">
        <f t="array" aca="1" ref="F302" ca="1">MAX(IF(B302=INDEX(BD,,2),INDEX(BD,,9),""))</f>
        <v>0</v>
      </c>
      <c r="G302" s="4">
        <f t="array" aca="1" ref="G302" ca="1">MIN(IF(B302=INDEX(BD,,2),INDEX(BD,,9),0))</f>
        <v>0</v>
      </c>
    </row>
    <row r="303" spans="2:7" x14ac:dyDescent="0.3">
      <c r="B303" s="29">
        <v>44479</v>
      </c>
      <c r="C303" s="4">
        <f t="array" aca="1" ref="C303" ca="1">SUM(IF(B303=INDEX(BD,,2),INDEX(BD,,9),""))</f>
        <v>0</v>
      </c>
      <c r="D303" s="17">
        <f t="array" aca="1" ref="D303" ca="1">COUNT(IF(B303=INDEX(BD,,2),INDEX(BD,,9),""))</f>
        <v>0</v>
      </c>
      <c r="E303" s="4">
        <f t="array" aca="1" ref="E303" ca="1">IFERROR(AVERAGE(IF(B303=INDEX(BD,,2),INDEX(BD,,9),"")),0)</f>
        <v>0</v>
      </c>
      <c r="F303" s="4">
        <f t="array" aca="1" ref="F303" ca="1">MAX(IF(B303=INDEX(BD,,2),INDEX(BD,,9),""))</f>
        <v>0</v>
      </c>
      <c r="G303" s="4">
        <f t="array" aca="1" ref="G303" ca="1">MIN(IF(B303=INDEX(BD,,2),INDEX(BD,,9),0))</f>
        <v>0</v>
      </c>
    </row>
    <row r="304" spans="2:7" x14ac:dyDescent="0.3">
      <c r="B304" s="29">
        <v>44480</v>
      </c>
      <c r="C304" s="4">
        <f t="array" aca="1" ref="C304" ca="1">SUM(IF(B304=INDEX(BD,,2),INDEX(BD,,9),""))</f>
        <v>0</v>
      </c>
      <c r="D304" s="17">
        <f t="array" aca="1" ref="D304" ca="1">COUNT(IF(B304=INDEX(BD,,2),INDEX(BD,,9),""))</f>
        <v>0</v>
      </c>
      <c r="E304" s="4">
        <f t="array" aca="1" ref="E304" ca="1">IFERROR(AVERAGE(IF(B304=INDEX(BD,,2),INDEX(BD,,9),"")),0)</f>
        <v>0</v>
      </c>
      <c r="F304" s="4">
        <f t="array" aca="1" ref="F304" ca="1">MAX(IF(B304=INDEX(BD,,2),INDEX(BD,,9),""))</f>
        <v>0</v>
      </c>
      <c r="G304" s="4">
        <f t="array" aca="1" ref="G304" ca="1">MIN(IF(B304=INDEX(BD,,2),INDEX(BD,,9),0))</f>
        <v>0</v>
      </c>
    </row>
    <row r="305" spans="2:7" x14ac:dyDescent="0.3">
      <c r="B305" s="29">
        <v>44481</v>
      </c>
      <c r="C305" s="4">
        <f t="array" aca="1" ref="C305" ca="1">SUM(IF(B305=INDEX(BD,,2),INDEX(BD,,9),""))</f>
        <v>0</v>
      </c>
      <c r="D305" s="17">
        <f t="array" aca="1" ref="D305" ca="1">COUNT(IF(B305=INDEX(BD,,2),INDEX(BD,,9),""))</f>
        <v>0</v>
      </c>
      <c r="E305" s="4">
        <f t="array" aca="1" ref="E305" ca="1">IFERROR(AVERAGE(IF(B305=INDEX(BD,,2),INDEX(BD,,9),"")),0)</f>
        <v>0</v>
      </c>
      <c r="F305" s="4">
        <f t="array" aca="1" ref="F305" ca="1">MAX(IF(B305=INDEX(BD,,2),INDEX(BD,,9),""))</f>
        <v>0</v>
      </c>
      <c r="G305" s="4">
        <f t="array" aca="1" ref="G305" ca="1">MIN(IF(B305=INDEX(BD,,2),INDEX(BD,,9),0))</f>
        <v>0</v>
      </c>
    </row>
    <row r="306" spans="2:7" x14ac:dyDescent="0.3">
      <c r="B306" s="29">
        <v>44482</v>
      </c>
      <c r="C306" s="4">
        <f t="array" aca="1" ref="C306" ca="1">SUM(IF(B306=INDEX(BD,,2),INDEX(BD,,9),""))</f>
        <v>8.67</v>
      </c>
      <c r="D306" s="17">
        <f t="array" aca="1" ref="D306" ca="1">COUNT(IF(B306=INDEX(BD,,2),INDEX(BD,,9),""))</f>
        <v>1</v>
      </c>
      <c r="E306" s="4">
        <f t="array" aca="1" ref="E306" ca="1">IFERROR(AVERAGE(IF(B306=INDEX(BD,,2),INDEX(BD,,9),"")),0)</f>
        <v>8.67</v>
      </c>
      <c r="F306" s="4">
        <f t="array" aca="1" ref="F306" ca="1">MAX(IF(B306=INDEX(BD,,2),INDEX(BD,,9),""))</f>
        <v>8.67</v>
      </c>
      <c r="G306" s="4">
        <f t="array" aca="1" ref="G306" ca="1">MIN(IF(B306=INDEX(BD,,2),INDEX(BD,,9),0))</f>
        <v>0</v>
      </c>
    </row>
    <row r="307" spans="2:7" x14ac:dyDescent="0.3">
      <c r="B307" s="29">
        <v>44483</v>
      </c>
      <c r="C307" s="4">
        <f t="array" aca="1" ref="C307" ca="1">SUM(IF(B307=INDEX(BD,,2),INDEX(BD,,9),""))</f>
        <v>0</v>
      </c>
      <c r="D307" s="17">
        <f t="array" aca="1" ref="D307" ca="1">COUNT(IF(B307=INDEX(BD,,2),INDEX(BD,,9),""))</f>
        <v>0</v>
      </c>
      <c r="E307" s="4">
        <f t="array" aca="1" ref="E307" ca="1">IFERROR(AVERAGE(IF(B307=INDEX(BD,,2),INDEX(BD,,9),"")),0)</f>
        <v>0</v>
      </c>
      <c r="F307" s="4">
        <f t="array" aca="1" ref="F307" ca="1">MAX(IF(B307=INDEX(BD,,2),INDEX(BD,,9),""))</f>
        <v>0</v>
      </c>
      <c r="G307" s="4">
        <f t="array" aca="1" ref="G307" ca="1">MIN(IF(B307=INDEX(BD,,2),INDEX(BD,,9),0))</f>
        <v>0</v>
      </c>
    </row>
    <row r="308" spans="2:7" x14ac:dyDescent="0.3">
      <c r="B308" s="29">
        <v>44484</v>
      </c>
      <c r="C308" s="4">
        <f t="array" aca="1" ref="C308" ca="1">SUM(IF(B308=INDEX(BD,,2),INDEX(BD,,9),""))</f>
        <v>0</v>
      </c>
      <c r="D308" s="17">
        <f t="array" aca="1" ref="D308" ca="1">COUNT(IF(B308=INDEX(BD,,2),INDEX(BD,,9),""))</f>
        <v>0</v>
      </c>
      <c r="E308" s="4">
        <f t="array" aca="1" ref="E308" ca="1">IFERROR(AVERAGE(IF(B308=INDEX(BD,,2),INDEX(BD,,9),"")),0)</f>
        <v>0</v>
      </c>
      <c r="F308" s="4">
        <f t="array" aca="1" ref="F308" ca="1">MAX(IF(B308=INDEX(BD,,2),INDEX(BD,,9),""))</f>
        <v>0</v>
      </c>
      <c r="G308" s="4">
        <f t="array" aca="1" ref="G308" ca="1">MIN(IF(B308=INDEX(BD,,2),INDEX(BD,,9),0))</f>
        <v>0</v>
      </c>
    </row>
    <row r="309" spans="2:7" x14ac:dyDescent="0.3">
      <c r="B309" s="29">
        <v>44485</v>
      </c>
      <c r="C309" s="4">
        <f t="array" aca="1" ref="C309" ca="1">SUM(IF(B309=INDEX(BD,,2),INDEX(BD,,9),""))</f>
        <v>0</v>
      </c>
      <c r="D309" s="17">
        <f t="array" aca="1" ref="D309" ca="1">COUNT(IF(B309=INDEX(BD,,2),INDEX(BD,,9),""))</f>
        <v>0</v>
      </c>
      <c r="E309" s="4">
        <f t="array" aca="1" ref="E309" ca="1">IFERROR(AVERAGE(IF(B309=INDEX(BD,,2),INDEX(BD,,9),"")),0)</f>
        <v>0</v>
      </c>
      <c r="F309" s="4">
        <f t="array" aca="1" ref="F309" ca="1">MAX(IF(B309=INDEX(BD,,2),INDEX(BD,,9),""))</f>
        <v>0</v>
      </c>
      <c r="G309" s="4">
        <f t="array" aca="1" ref="G309" ca="1">MIN(IF(B309=INDEX(BD,,2),INDEX(BD,,9),0))</f>
        <v>0</v>
      </c>
    </row>
    <row r="310" spans="2:7" x14ac:dyDescent="0.3">
      <c r="B310" s="29">
        <v>44486</v>
      </c>
      <c r="C310" s="4">
        <f t="array" aca="1" ref="C310" ca="1">SUM(IF(B310=INDEX(BD,,2),INDEX(BD,,9),""))</f>
        <v>0</v>
      </c>
      <c r="D310" s="17">
        <f t="array" aca="1" ref="D310" ca="1">COUNT(IF(B310=INDEX(BD,,2),INDEX(BD,,9),""))</f>
        <v>0</v>
      </c>
      <c r="E310" s="4">
        <f t="array" aca="1" ref="E310" ca="1">IFERROR(AVERAGE(IF(B310=INDEX(BD,,2),INDEX(BD,,9),"")),0)</f>
        <v>0</v>
      </c>
      <c r="F310" s="4">
        <f t="array" aca="1" ref="F310" ca="1">MAX(IF(B310=INDEX(BD,,2),INDEX(BD,,9),""))</f>
        <v>0</v>
      </c>
      <c r="G310" s="4">
        <f t="array" aca="1" ref="G310" ca="1">MIN(IF(B310=INDEX(BD,,2),INDEX(BD,,9),0))</f>
        <v>0</v>
      </c>
    </row>
    <row r="311" spans="2:7" x14ac:dyDescent="0.3">
      <c r="B311" s="29">
        <v>44487</v>
      </c>
      <c r="C311" s="4">
        <f t="array" aca="1" ref="C311" ca="1">SUM(IF(B311=INDEX(BD,,2),INDEX(BD,,9),""))</f>
        <v>0</v>
      </c>
      <c r="D311" s="17">
        <f t="array" aca="1" ref="D311" ca="1">COUNT(IF(B311=INDEX(BD,,2),INDEX(BD,,9),""))</f>
        <v>0</v>
      </c>
      <c r="E311" s="4">
        <f t="array" aca="1" ref="E311" ca="1">IFERROR(AVERAGE(IF(B311=INDEX(BD,,2),INDEX(BD,,9),"")),0)</f>
        <v>0</v>
      </c>
      <c r="F311" s="4">
        <f t="array" aca="1" ref="F311" ca="1">MAX(IF(B311=INDEX(BD,,2),INDEX(BD,,9),""))</f>
        <v>0</v>
      </c>
      <c r="G311" s="4">
        <f t="array" aca="1" ref="G311" ca="1">MIN(IF(B311=INDEX(BD,,2),INDEX(BD,,9),0))</f>
        <v>0</v>
      </c>
    </row>
    <row r="312" spans="2:7" x14ac:dyDescent="0.3">
      <c r="B312" s="29">
        <v>44488</v>
      </c>
      <c r="C312" s="4">
        <f t="array" aca="1" ref="C312" ca="1">SUM(IF(B312=INDEX(BD,,2),INDEX(BD,,9),""))</f>
        <v>0</v>
      </c>
      <c r="D312" s="17">
        <f t="array" aca="1" ref="D312" ca="1">COUNT(IF(B312=INDEX(BD,,2),INDEX(BD,,9),""))</f>
        <v>0</v>
      </c>
      <c r="E312" s="4">
        <f t="array" aca="1" ref="E312" ca="1">IFERROR(AVERAGE(IF(B312=INDEX(BD,,2),INDEX(BD,,9),"")),0)</f>
        <v>0</v>
      </c>
      <c r="F312" s="4">
        <f t="array" aca="1" ref="F312" ca="1">MAX(IF(B312=INDEX(BD,,2),INDEX(BD,,9),""))</f>
        <v>0</v>
      </c>
      <c r="G312" s="4">
        <f t="array" aca="1" ref="G312" ca="1">MIN(IF(B312=INDEX(BD,,2),INDEX(BD,,9),0))</f>
        <v>0</v>
      </c>
    </row>
    <row r="313" spans="2:7" x14ac:dyDescent="0.3">
      <c r="B313" s="29">
        <v>44489</v>
      </c>
      <c r="C313" s="4">
        <f t="array" aca="1" ref="C313" ca="1">SUM(IF(B313=INDEX(BD,,2),INDEX(BD,,9),""))</f>
        <v>0</v>
      </c>
      <c r="D313" s="17">
        <f t="array" aca="1" ref="D313" ca="1">COUNT(IF(B313=INDEX(BD,,2),INDEX(BD,,9),""))</f>
        <v>0</v>
      </c>
      <c r="E313" s="4">
        <f t="array" aca="1" ref="E313" ca="1">IFERROR(AVERAGE(IF(B313=INDEX(BD,,2),INDEX(BD,,9),"")),0)</f>
        <v>0</v>
      </c>
      <c r="F313" s="4">
        <f t="array" aca="1" ref="F313" ca="1">MAX(IF(B313=INDEX(BD,,2),INDEX(BD,,9),""))</f>
        <v>0</v>
      </c>
      <c r="G313" s="4">
        <f t="array" aca="1" ref="G313" ca="1">MIN(IF(B313=INDEX(BD,,2),INDEX(BD,,9),0))</f>
        <v>0</v>
      </c>
    </row>
    <row r="314" spans="2:7" x14ac:dyDescent="0.3">
      <c r="B314" s="29">
        <v>44490</v>
      </c>
      <c r="C314" s="4">
        <f t="array" aca="1" ref="C314" ca="1">SUM(IF(B314=INDEX(BD,,2),INDEX(BD,,9),""))</f>
        <v>0</v>
      </c>
      <c r="D314" s="17">
        <f t="array" aca="1" ref="D314" ca="1">COUNT(IF(B314=INDEX(BD,,2),INDEX(BD,,9),""))</f>
        <v>0</v>
      </c>
      <c r="E314" s="4">
        <f t="array" aca="1" ref="E314" ca="1">IFERROR(AVERAGE(IF(B314=INDEX(BD,,2),INDEX(BD,,9),"")),0)</f>
        <v>0</v>
      </c>
      <c r="F314" s="4">
        <f t="array" aca="1" ref="F314" ca="1">MAX(IF(B314=INDEX(BD,,2),INDEX(BD,,9),""))</f>
        <v>0</v>
      </c>
      <c r="G314" s="4">
        <f t="array" aca="1" ref="G314" ca="1">MIN(IF(B314=INDEX(BD,,2),INDEX(BD,,9),0))</f>
        <v>0</v>
      </c>
    </row>
    <row r="315" spans="2:7" x14ac:dyDescent="0.3">
      <c r="B315" s="29">
        <v>44491</v>
      </c>
      <c r="C315" s="4">
        <f t="array" aca="1" ref="C315" ca="1">SUM(IF(B315=INDEX(BD,,2),INDEX(BD,,9),""))</f>
        <v>0</v>
      </c>
      <c r="D315" s="17">
        <f t="array" aca="1" ref="D315" ca="1">COUNT(IF(B315=INDEX(BD,,2),INDEX(BD,,9),""))</f>
        <v>0</v>
      </c>
      <c r="E315" s="4">
        <f t="array" aca="1" ref="E315" ca="1">IFERROR(AVERAGE(IF(B315=INDEX(BD,,2),INDEX(BD,,9),"")),0)</f>
        <v>0</v>
      </c>
      <c r="F315" s="4">
        <f t="array" aca="1" ref="F315" ca="1">MAX(IF(B315=INDEX(BD,,2),INDEX(BD,,9),""))</f>
        <v>0</v>
      </c>
      <c r="G315" s="4">
        <f t="array" aca="1" ref="G315" ca="1">MIN(IF(B315=INDEX(BD,,2),INDEX(BD,,9),0))</f>
        <v>0</v>
      </c>
    </row>
    <row r="316" spans="2:7" x14ac:dyDescent="0.3">
      <c r="B316" s="29">
        <v>44492</v>
      </c>
      <c r="C316" s="4">
        <f t="array" aca="1" ref="C316" ca="1">SUM(IF(B316=INDEX(BD,,2),INDEX(BD,,9),""))</f>
        <v>0</v>
      </c>
      <c r="D316" s="17">
        <f t="array" aca="1" ref="D316" ca="1">COUNT(IF(B316=INDEX(BD,,2),INDEX(BD,,9),""))</f>
        <v>0</v>
      </c>
      <c r="E316" s="4">
        <f t="array" aca="1" ref="E316" ca="1">IFERROR(AVERAGE(IF(B316=INDEX(BD,,2),INDEX(BD,,9),"")),0)</f>
        <v>0</v>
      </c>
      <c r="F316" s="4">
        <f t="array" aca="1" ref="F316" ca="1">MAX(IF(B316=INDEX(BD,,2),INDEX(BD,,9),""))</f>
        <v>0</v>
      </c>
      <c r="G316" s="4">
        <f t="array" aca="1" ref="G316" ca="1">MIN(IF(B316=INDEX(BD,,2),INDEX(BD,,9),0))</f>
        <v>0</v>
      </c>
    </row>
    <row r="317" spans="2:7" x14ac:dyDescent="0.3">
      <c r="B317" s="29">
        <v>44493</v>
      </c>
      <c r="C317" s="4">
        <f t="array" aca="1" ref="C317" ca="1">SUM(IF(B317=INDEX(BD,,2),INDEX(BD,,9),""))</f>
        <v>0</v>
      </c>
      <c r="D317" s="17">
        <f t="array" aca="1" ref="D317" ca="1">COUNT(IF(B317=INDEX(BD,,2),INDEX(BD,,9),""))</f>
        <v>0</v>
      </c>
      <c r="E317" s="4">
        <f t="array" aca="1" ref="E317" ca="1">IFERROR(AVERAGE(IF(B317=INDEX(BD,,2),INDEX(BD,,9),"")),0)</f>
        <v>0</v>
      </c>
      <c r="F317" s="4">
        <f t="array" aca="1" ref="F317" ca="1">MAX(IF(B317=INDEX(BD,,2),INDEX(BD,,9),""))</f>
        <v>0</v>
      </c>
      <c r="G317" s="4">
        <f t="array" aca="1" ref="G317" ca="1">MIN(IF(B317=INDEX(BD,,2),INDEX(BD,,9),0))</f>
        <v>0</v>
      </c>
    </row>
    <row r="318" spans="2:7" x14ac:dyDescent="0.3">
      <c r="B318" s="29">
        <v>44494</v>
      </c>
      <c r="C318" s="4">
        <f t="array" aca="1" ref="C318" ca="1">SUM(IF(B318=INDEX(BD,,2),INDEX(BD,,9),""))</f>
        <v>0</v>
      </c>
      <c r="D318" s="17">
        <f t="array" aca="1" ref="D318" ca="1">COUNT(IF(B318=INDEX(BD,,2),INDEX(BD,,9),""))</f>
        <v>0</v>
      </c>
      <c r="E318" s="4">
        <f t="array" aca="1" ref="E318" ca="1">IFERROR(AVERAGE(IF(B318=INDEX(BD,,2),INDEX(BD,,9),"")),0)</f>
        <v>0</v>
      </c>
      <c r="F318" s="4">
        <f t="array" aca="1" ref="F318" ca="1">MAX(IF(B318=INDEX(BD,,2),INDEX(BD,,9),""))</f>
        <v>0</v>
      </c>
      <c r="G318" s="4">
        <f t="array" aca="1" ref="G318" ca="1">MIN(IF(B318=INDEX(BD,,2),INDEX(BD,,9),0))</f>
        <v>0</v>
      </c>
    </row>
    <row r="319" spans="2:7" x14ac:dyDescent="0.3">
      <c r="B319" s="29">
        <v>44495</v>
      </c>
      <c r="C319" s="4">
        <f t="array" aca="1" ref="C319" ca="1">SUM(IF(B319=INDEX(BD,,2),INDEX(BD,,9),""))</f>
        <v>0</v>
      </c>
      <c r="D319" s="17">
        <f t="array" aca="1" ref="D319" ca="1">COUNT(IF(B319=INDEX(BD,,2),INDEX(BD,,9),""))</f>
        <v>0</v>
      </c>
      <c r="E319" s="4">
        <f t="array" aca="1" ref="E319" ca="1">IFERROR(AVERAGE(IF(B319=INDEX(BD,,2),INDEX(BD,,9),"")),0)</f>
        <v>0</v>
      </c>
      <c r="F319" s="4">
        <f t="array" aca="1" ref="F319" ca="1">MAX(IF(B319=INDEX(BD,,2),INDEX(BD,,9),""))</f>
        <v>0</v>
      </c>
      <c r="G319" s="4">
        <f t="array" aca="1" ref="G319" ca="1">MIN(IF(B319=INDEX(BD,,2),INDEX(BD,,9),0))</f>
        <v>0</v>
      </c>
    </row>
    <row r="320" spans="2:7" x14ac:dyDescent="0.3">
      <c r="B320" s="29">
        <v>44496</v>
      </c>
      <c r="C320" s="4">
        <f t="array" aca="1" ref="C320" ca="1">SUM(IF(B320=INDEX(BD,,2),INDEX(BD,,9),""))</f>
        <v>0</v>
      </c>
      <c r="D320" s="17">
        <f t="array" aca="1" ref="D320" ca="1">COUNT(IF(B320=INDEX(BD,,2),INDEX(BD,,9),""))</f>
        <v>0</v>
      </c>
      <c r="E320" s="4">
        <f t="array" aca="1" ref="E320" ca="1">IFERROR(AVERAGE(IF(B320=INDEX(BD,,2),INDEX(BD,,9),"")),0)</f>
        <v>0</v>
      </c>
      <c r="F320" s="4">
        <f t="array" aca="1" ref="F320" ca="1">MAX(IF(B320=INDEX(BD,,2),INDEX(BD,,9),""))</f>
        <v>0</v>
      </c>
      <c r="G320" s="4">
        <f t="array" aca="1" ref="G320" ca="1">MIN(IF(B320=INDEX(BD,,2),INDEX(BD,,9),0))</f>
        <v>0</v>
      </c>
    </row>
    <row r="321" spans="2:7" x14ac:dyDescent="0.3">
      <c r="B321" s="29">
        <v>44497</v>
      </c>
      <c r="C321" s="4">
        <f t="array" aca="1" ref="C321" ca="1">SUM(IF(B321=INDEX(BD,,2),INDEX(BD,,9),""))</f>
        <v>0</v>
      </c>
      <c r="D321" s="17">
        <f t="array" aca="1" ref="D321" ca="1">COUNT(IF(B321=INDEX(BD,,2),INDEX(BD,,9),""))</f>
        <v>0</v>
      </c>
      <c r="E321" s="4">
        <f t="array" aca="1" ref="E321" ca="1">IFERROR(AVERAGE(IF(B321=INDEX(BD,,2),INDEX(BD,,9),"")),0)</f>
        <v>0</v>
      </c>
      <c r="F321" s="4">
        <f t="array" aca="1" ref="F321" ca="1">MAX(IF(B321=INDEX(BD,,2),INDEX(BD,,9),""))</f>
        <v>0</v>
      </c>
      <c r="G321" s="4">
        <f t="array" aca="1" ref="G321" ca="1">MIN(IF(B321=INDEX(BD,,2),INDEX(BD,,9),0))</f>
        <v>0</v>
      </c>
    </row>
    <row r="322" spans="2:7" x14ac:dyDescent="0.3">
      <c r="B322" s="29">
        <v>44498</v>
      </c>
      <c r="C322" s="4">
        <f t="array" aca="1" ref="C322" ca="1">SUM(IF(B322=INDEX(BD,,2),INDEX(BD,,9),""))</f>
        <v>0</v>
      </c>
      <c r="D322" s="17">
        <f t="array" aca="1" ref="D322" ca="1">COUNT(IF(B322=INDEX(BD,,2),INDEX(BD,,9),""))</f>
        <v>0</v>
      </c>
      <c r="E322" s="4">
        <f t="array" aca="1" ref="E322" ca="1">IFERROR(AVERAGE(IF(B322=INDEX(BD,,2),INDEX(BD,,9),"")),0)</f>
        <v>0</v>
      </c>
      <c r="F322" s="4">
        <f t="array" aca="1" ref="F322" ca="1">MAX(IF(B322=INDEX(BD,,2),INDEX(BD,,9),""))</f>
        <v>0</v>
      </c>
      <c r="G322" s="4">
        <f t="array" aca="1" ref="G322" ca="1">MIN(IF(B322=INDEX(BD,,2),INDEX(BD,,9),0))</f>
        <v>0</v>
      </c>
    </row>
    <row r="323" spans="2:7" x14ac:dyDescent="0.3">
      <c r="B323" s="29">
        <v>44499</v>
      </c>
      <c r="C323" s="4">
        <f t="array" aca="1" ref="C323" ca="1">SUM(IF(B323=INDEX(BD,,2),INDEX(BD,,9),""))</f>
        <v>0</v>
      </c>
      <c r="D323" s="17">
        <f t="array" aca="1" ref="D323" ca="1">COUNT(IF(B323=INDEX(BD,,2),INDEX(BD,,9),""))</f>
        <v>0</v>
      </c>
      <c r="E323" s="4">
        <f t="array" aca="1" ref="E323" ca="1">IFERROR(AVERAGE(IF(B323=INDEX(BD,,2),INDEX(BD,,9),"")),0)</f>
        <v>0</v>
      </c>
      <c r="F323" s="4">
        <f t="array" aca="1" ref="F323" ca="1">MAX(IF(B323=INDEX(BD,,2),INDEX(BD,,9),""))</f>
        <v>0</v>
      </c>
      <c r="G323" s="4">
        <f t="array" aca="1" ref="G323" ca="1">MIN(IF(B323=INDEX(BD,,2),INDEX(BD,,9),0))</f>
        <v>0</v>
      </c>
    </row>
    <row r="324" spans="2:7" x14ac:dyDescent="0.3">
      <c r="B324" s="29">
        <v>44500</v>
      </c>
      <c r="C324" s="4">
        <f t="array" aca="1" ref="C324" ca="1">SUM(IF(B324=INDEX(BD,,2),INDEX(BD,,9),""))</f>
        <v>0</v>
      </c>
      <c r="D324" s="17">
        <f t="array" aca="1" ref="D324" ca="1">COUNT(IF(B324=INDEX(BD,,2),INDEX(BD,,9),""))</f>
        <v>0</v>
      </c>
      <c r="E324" s="4">
        <f t="array" aca="1" ref="E324" ca="1">IFERROR(AVERAGE(IF(B324=INDEX(BD,,2),INDEX(BD,,9),"")),0)</f>
        <v>0</v>
      </c>
      <c r="F324" s="4">
        <f t="array" aca="1" ref="F324" ca="1">MAX(IF(B324=INDEX(BD,,2),INDEX(BD,,9),""))</f>
        <v>0</v>
      </c>
      <c r="G324" s="4">
        <f t="array" aca="1" ref="G324" ca="1">MIN(IF(B324=INDEX(BD,,2),INDEX(BD,,9),0))</f>
        <v>0</v>
      </c>
    </row>
    <row r="325" spans="2:7" x14ac:dyDescent="0.3">
      <c r="B325" s="29">
        <v>44501</v>
      </c>
      <c r="C325" s="4">
        <f t="array" aca="1" ref="C325" ca="1">SUM(IF(B325=INDEX(BD,,2),INDEX(BD,,9),""))</f>
        <v>0</v>
      </c>
      <c r="D325" s="17">
        <f t="array" aca="1" ref="D325" ca="1">COUNT(IF(B325=INDEX(BD,,2),INDEX(BD,,9),""))</f>
        <v>0</v>
      </c>
      <c r="E325" s="4">
        <f t="array" aca="1" ref="E325" ca="1">IFERROR(AVERAGE(IF(B325=INDEX(BD,,2),INDEX(BD,,9),"")),0)</f>
        <v>0</v>
      </c>
      <c r="F325" s="4">
        <f t="array" aca="1" ref="F325" ca="1">MAX(IF(B325=INDEX(BD,,2),INDEX(BD,,9),""))</f>
        <v>0</v>
      </c>
      <c r="G325" s="4">
        <f t="array" aca="1" ref="G325" ca="1">MIN(IF(B325=INDEX(BD,,2),INDEX(BD,,9),0))</f>
        <v>0</v>
      </c>
    </row>
    <row r="326" spans="2:7" x14ac:dyDescent="0.3">
      <c r="B326" s="29">
        <v>44502</v>
      </c>
      <c r="C326" s="4">
        <f t="array" aca="1" ref="C326" ca="1">SUM(IF(B326=INDEX(BD,,2),INDEX(BD,,9),""))</f>
        <v>0</v>
      </c>
      <c r="D326" s="17">
        <f t="array" aca="1" ref="D326" ca="1">COUNT(IF(B326=INDEX(BD,,2),INDEX(BD,,9),""))</f>
        <v>0</v>
      </c>
      <c r="E326" s="4">
        <f t="array" aca="1" ref="E326" ca="1">IFERROR(AVERAGE(IF(B326=INDEX(BD,,2),INDEX(BD,,9),"")),0)</f>
        <v>0</v>
      </c>
      <c r="F326" s="4">
        <f t="array" aca="1" ref="F326" ca="1">MAX(IF(B326=INDEX(BD,,2),INDEX(BD,,9),""))</f>
        <v>0</v>
      </c>
      <c r="G326" s="4">
        <f t="array" aca="1" ref="G326" ca="1">MIN(IF(B326=INDEX(BD,,2),INDEX(BD,,9),0))</f>
        <v>0</v>
      </c>
    </row>
    <row r="327" spans="2:7" x14ac:dyDescent="0.3">
      <c r="B327" s="29">
        <v>44503</v>
      </c>
      <c r="C327" s="4">
        <f t="array" aca="1" ref="C327" ca="1">SUM(IF(B327=INDEX(BD,,2),INDEX(BD,,9),""))</f>
        <v>0</v>
      </c>
      <c r="D327" s="17">
        <f t="array" aca="1" ref="D327" ca="1">COUNT(IF(B327=INDEX(BD,,2),INDEX(BD,,9),""))</f>
        <v>0</v>
      </c>
      <c r="E327" s="4">
        <f t="array" aca="1" ref="E327" ca="1">IFERROR(AVERAGE(IF(B327=INDEX(BD,,2),INDEX(BD,,9),"")),0)</f>
        <v>0</v>
      </c>
      <c r="F327" s="4">
        <f t="array" aca="1" ref="F327" ca="1">MAX(IF(B327=INDEX(BD,,2),INDEX(BD,,9),""))</f>
        <v>0</v>
      </c>
      <c r="G327" s="4">
        <f t="array" aca="1" ref="G327" ca="1">MIN(IF(B327=INDEX(BD,,2),INDEX(BD,,9),0))</f>
        <v>0</v>
      </c>
    </row>
    <row r="328" spans="2:7" x14ac:dyDescent="0.3">
      <c r="B328" s="29">
        <v>44504</v>
      </c>
      <c r="C328" s="4">
        <f t="array" aca="1" ref="C328" ca="1">SUM(IF(B328=INDEX(BD,,2),INDEX(BD,,9),""))</f>
        <v>0</v>
      </c>
      <c r="D328" s="17">
        <f t="array" aca="1" ref="D328" ca="1">COUNT(IF(B328=INDEX(BD,,2),INDEX(BD,,9),""))</f>
        <v>0</v>
      </c>
      <c r="E328" s="4">
        <f t="array" aca="1" ref="E328" ca="1">IFERROR(AVERAGE(IF(B328=INDEX(BD,,2),INDEX(BD,,9),"")),0)</f>
        <v>0</v>
      </c>
      <c r="F328" s="4">
        <f t="array" aca="1" ref="F328" ca="1">MAX(IF(B328=INDEX(BD,,2),INDEX(BD,,9),""))</f>
        <v>0</v>
      </c>
      <c r="G328" s="4">
        <f t="array" aca="1" ref="G328" ca="1">MIN(IF(B328=INDEX(BD,,2),INDEX(BD,,9),0))</f>
        <v>0</v>
      </c>
    </row>
    <row r="329" spans="2:7" x14ac:dyDescent="0.3">
      <c r="B329" s="29">
        <v>44505</v>
      </c>
      <c r="C329" s="4">
        <f t="array" aca="1" ref="C329" ca="1">SUM(IF(B329=INDEX(BD,,2),INDEX(BD,,9),""))</f>
        <v>0</v>
      </c>
      <c r="D329" s="17">
        <f t="array" aca="1" ref="D329" ca="1">COUNT(IF(B329=INDEX(BD,,2),INDEX(BD,,9),""))</f>
        <v>0</v>
      </c>
      <c r="E329" s="4">
        <f t="array" aca="1" ref="E329" ca="1">IFERROR(AVERAGE(IF(B329=INDEX(BD,,2),INDEX(BD,,9),"")),0)</f>
        <v>0</v>
      </c>
      <c r="F329" s="4">
        <f t="array" aca="1" ref="F329" ca="1">MAX(IF(B329=INDEX(BD,,2),INDEX(BD,,9),""))</f>
        <v>0</v>
      </c>
      <c r="G329" s="4">
        <f t="array" aca="1" ref="G329" ca="1">MIN(IF(B329=INDEX(BD,,2),INDEX(BD,,9),0))</f>
        <v>0</v>
      </c>
    </row>
    <row r="330" spans="2:7" x14ac:dyDescent="0.3">
      <c r="B330" s="29">
        <v>44506</v>
      </c>
      <c r="C330" s="4">
        <f t="array" aca="1" ref="C330" ca="1">SUM(IF(B330=INDEX(BD,,2),INDEX(BD,,9),""))</f>
        <v>0</v>
      </c>
      <c r="D330" s="17">
        <f t="array" aca="1" ref="D330" ca="1">COUNT(IF(B330=INDEX(BD,,2),INDEX(BD,,9),""))</f>
        <v>0</v>
      </c>
      <c r="E330" s="4">
        <f t="array" aca="1" ref="E330" ca="1">IFERROR(AVERAGE(IF(B330=INDEX(BD,,2),INDEX(BD,,9),"")),0)</f>
        <v>0</v>
      </c>
      <c r="F330" s="4">
        <f t="array" aca="1" ref="F330" ca="1">MAX(IF(B330=INDEX(BD,,2),INDEX(BD,,9),""))</f>
        <v>0</v>
      </c>
      <c r="G330" s="4">
        <f t="array" aca="1" ref="G330" ca="1">MIN(IF(B330=INDEX(BD,,2),INDEX(BD,,9),0))</f>
        <v>0</v>
      </c>
    </row>
    <row r="331" spans="2:7" x14ac:dyDescent="0.3">
      <c r="B331" s="29">
        <v>44507</v>
      </c>
      <c r="C331" s="4">
        <f t="array" aca="1" ref="C331" ca="1">SUM(IF(B331=INDEX(BD,,2),INDEX(BD,,9),""))</f>
        <v>0</v>
      </c>
      <c r="D331" s="17">
        <f t="array" aca="1" ref="D331" ca="1">COUNT(IF(B331=INDEX(BD,,2),INDEX(BD,,9),""))</f>
        <v>0</v>
      </c>
      <c r="E331" s="4">
        <f t="array" aca="1" ref="E331" ca="1">IFERROR(AVERAGE(IF(B331=INDEX(BD,,2),INDEX(BD,,9),"")),0)</f>
        <v>0</v>
      </c>
      <c r="F331" s="4">
        <f t="array" aca="1" ref="F331" ca="1">MAX(IF(B331=INDEX(BD,,2),INDEX(BD,,9),""))</f>
        <v>0</v>
      </c>
      <c r="G331" s="4">
        <f t="array" aca="1" ref="G331" ca="1">MIN(IF(B331=INDEX(BD,,2),INDEX(BD,,9),0))</f>
        <v>0</v>
      </c>
    </row>
    <row r="332" spans="2:7" x14ac:dyDescent="0.3">
      <c r="B332" s="29">
        <v>44508</v>
      </c>
      <c r="C332" s="4">
        <f t="array" aca="1" ref="C332" ca="1">SUM(IF(B332=INDEX(BD,,2),INDEX(BD,,9),""))</f>
        <v>0</v>
      </c>
      <c r="D332" s="17">
        <f t="array" aca="1" ref="D332" ca="1">COUNT(IF(B332=INDEX(BD,,2),INDEX(BD,,9),""))</f>
        <v>0</v>
      </c>
      <c r="E332" s="4">
        <f t="array" aca="1" ref="E332" ca="1">IFERROR(AVERAGE(IF(B332=INDEX(BD,,2),INDEX(BD,,9),"")),0)</f>
        <v>0</v>
      </c>
      <c r="F332" s="4">
        <f t="array" aca="1" ref="F332" ca="1">MAX(IF(B332=INDEX(BD,,2),INDEX(BD,,9),""))</f>
        <v>0</v>
      </c>
      <c r="G332" s="4">
        <f t="array" aca="1" ref="G332" ca="1">MIN(IF(B332=INDEX(BD,,2),INDEX(BD,,9),0))</f>
        <v>0</v>
      </c>
    </row>
    <row r="333" spans="2:7" x14ac:dyDescent="0.3">
      <c r="B333" s="29">
        <v>44509</v>
      </c>
      <c r="C333" s="4">
        <f t="array" aca="1" ref="C333" ca="1">SUM(IF(B333=INDEX(BD,,2),INDEX(BD,,9),""))</f>
        <v>0</v>
      </c>
      <c r="D333" s="17">
        <f t="array" aca="1" ref="D333" ca="1">COUNT(IF(B333=INDEX(BD,,2),INDEX(BD,,9),""))</f>
        <v>0</v>
      </c>
      <c r="E333" s="4">
        <f t="array" aca="1" ref="E333" ca="1">IFERROR(AVERAGE(IF(B333=INDEX(BD,,2),INDEX(BD,,9),"")),0)</f>
        <v>0</v>
      </c>
      <c r="F333" s="4">
        <f t="array" aca="1" ref="F333" ca="1">MAX(IF(B333=INDEX(BD,,2),INDEX(BD,,9),""))</f>
        <v>0</v>
      </c>
      <c r="G333" s="4">
        <f t="array" aca="1" ref="G333" ca="1">MIN(IF(B333=INDEX(BD,,2),INDEX(BD,,9),0))</f>
        <v>0</v>
      </c>
    </row>
    <row r="334" spans="2:7" x14ac:dyDescent="0.3">
      <c r="B334" s="29">
        <v>44510</v>
      </c>
      <c r="C334" s="4">
        <f t="array" aca="1" ref="C334" ca="1">SUM(IF(B334=INDEX(BD,,2),INDEX(BD,,9),""))</f>
        <v>0</v>
      </c>
      <c r="D334" s="17">
        <f t="array" aca="1" ref="D334" ca="1">COUNT(IF(B334=INDEX(BD,,2),INDEX(BD,,9),""))</f>
        <v>0</v>
      </c>
      <c r="E334" s="4">
        <f t="array" aca="1" ref="E334" ca="1">IFERROR(AVERAGE(IF(B334=INDEX(BD,,2),INDEX(BD,,9),"")),0)</f>
        <v>0</v>
      </c>
      <c r="F334" s="4">
        <f t="array" aca="1" ref="F334" ca="1">MAX(IF(B334=INDEX(BD,,2),INDEX(BD,,9),""))</f>
        <v>0</v>
      </c>
      <c r="G334" s="4">
        <f t="array" aca="1" ref="G334" ca="1">MIN(IF(B334=INDEX(BD,,2),INDEX(BD,,9),0))</f>
        <v>0</v>
      </c>
    </row>
    <row r="335" spans="2:7" x14ac:dyDescent="0.3">
      <c r="B335" s="29">
        <v>44511</v>
      </c>
      <c r="C335" s="4">
        <f t="array" aca="1" ref="C335" ca="1">SUM(IF(B335=INDEX(BD,,2),INDEX(BD,,9),""))</f>
        <v>0</v>
      </c>
      <c r="D335" s="17">
        <f t="array" aca="1" ref="D335" ca="1">COUNT(IF(B335=INDEX(BD,,2),INDEX(BD,,9),""))</f>
        <v>0</v>
      </c>
      <c r="E335" s="4">
        <f t="array" aca="1" ref="E335" ca="1">IFERROR(AVERAGE(IF(B335=INDEX(BD,,2),INDEX(BD,,9),"")),0)</f>
        <v>0</v>
      </c>
      <c r="F335" s="4">
        <f t="array" aca="1" ref="F335" ca="1">MAX(IF(B335=INDEX(BD,,2),INDEX(BD,,9),""))</f>
        <v>0</v>
      </c>
      <c r="G335" s="4">
        <f t="array" aca="1" ref="G335" ca="1">MIN(IF(B335=INDEX(BD,,2),INDEX(BD,,9),0))</f>
        <v>0</v>
      </c>
    </row>
    <row r="336" spans="2:7" x14ac:dyDescent="0.3">
      <c r="B336" s="29">
        <v>44512</v>
      </c>
      <c r="C336" s="4">
        <f t="array" aca="1" ref="C336" ca="1">SUM(IF(B336=INDEX(BD,,2),INDEX(BD,,9),""))</f>
        <v>0</v>
      </c>
      <c r="D336" s="17">
        <f t="array" aca="1" ref="D336" ca="1">COUNT(IF(B336=INDEX(BD,,2),INDEX(BD,,9),""))</f>
        <v>0</v>
      </c>
      <c r="E336" s="4">
        <f t="array" aca="1" ref="E336" ca="1">IFERROR(AVERAGE(IF(B336=INDEX(BD,,2),INDEX(BD,,9),"")),0)</f>
        <v>0</v>
      </c>
      <c r="F336" s="4">
        <f t="array" aca="1" ref="F336" ca="1">MAX(IF(B336=INDEX(BD,,2),INDEX(BD,,9),""))</f>
        <v>0</v>
      </c>
      <c r="G336" s="4">
        <f t="array" aca="1" ref="G336" ca="1">MIN(IF(B336=INDEX(BD,,2),INDEX(BD,,9),0))</f>
        <v>0</v>
      </c>
    </row>
    <row r="337" spans="2:7" x14ac:dyDescent="0.3">
      <c r="B337" s="29">
        <v>44513</v>
      </c>
      <c r="C337" s="4">
        <f t="array" aca="1" ref="C337" ca="1">SUM(IF(B337=INDEX(BD,,2),INDEX(BD,,9),""))</f>
        <v>0</v>
      </c>
      <c r="D337" s="17">
        <f t="array" aca="1" ref="D337" ca="1">COUNT(IF(B337=INDEX(BD,,2),INDEX(BD,,9),""))</f>
        <v>0</v>
      </c>
      <c r="E337" s="4">
        <f t="array" aca="1" ref="E337" ca="1">IFERROR(AVERAGE(IF(B337=INDEX(BD,,2),INDEX(BD,,9),"")),0)</f>
        <v>0</v>
      </c>
      <c r="F337" s="4">
        <f t="array" aca="1" ref="F337" ca="1">MAX(IF(B337=INDEX(BD,,2),INDEX(BD,,9),""))</f>
        <v>0</v>
      </c>
      <c r="G337" s="4">
        <f t="array" aca="1" ref="G337" ca="1">MIN(IF(B337=INDEX(BD,,2),INDEX(BD,,9),0))</f>
        <v>0</v>
      </c>
    </row>
    <row r="338" spans="2:7" x14ac:dyDescent="0.3">
      <c r="B338" s="29">
        <v>44514</v>
      </c>
      <c r="C338" s="4">
        <f t="array" aca="1" ref="C338" ca="1">SUM(IF(B338=INDEX(BD,,2),INDEX(BD,,9),""))</f>
        <v>0</v>
      </c>
      <c r="D338" s="17">
        <f t="array" aca="1" ref="D338" ca="1">COUNT(IF(B338=INDEX(BD,,2),INDEX(BD,,9),""))</f>
        <v>0</v>
      </c>
      <c r="E338" s="4">
        <f t="array" aca="1" ref="E338" ca="1">IFERROR(AVERAGE(IF(B338=INDEX(BD,,2),INDEX(BD,,9),"")),0)</f>
        <v>0</v>
      </c>
      <c r="F338" s="4">
        <f t="array" aca="1" ref="F338" ca="1">MAX(IF(B338=INDEX(BD,,2),INDEX(BD,,9),""))</f>
        <v>0</v>
      </c>
      <c r="G338" s="4">
        <f t="array" aca="1" ref="G338" ca="1">MIN(IF(B338=INDEX(BD,,2),INDEX(BD,,9),0))</f>
        <v>0</v>
      </c>
    </row>
    <row r="339" spans="2:7" x14ac:dyDescent="0.3">
      <c r="B339" s="29">
        <v>44515</v>
      </c>
      <c r="C339" s="4">
        <f t="array" aca="1" ref="C339" ca="1">SUM(IF(B339=INDEX(BD,,2),INDEX(BD,,9),""))</f>
        <v>0</v>
      </c>
      <c r="D339" s="17">
        <f t="array" aca="1" ref="D339" ca="1">COUNT(IF(B339=INDEX(BD,,2),INDEX(BD,,9),""))</f>
        <v>0</v>
      </c>
      <c r="E339" s="4">
        <f t="array" aca="1" ref="E339" ca="1">IFERROR(AVERAGE(IF(B339=INDEX(BD,,2),INDEX(BD,,9),"")),0)</f>
        <v>0</v>
      </c>
      <c r="F339" s="4">
        <f t="array" aca="1" ref="F339" ca="1">MAX(IF(B339=INDEX(BD,,2),INDEX(BD,,9),""))</f>
        <v>0</v>
      </c>
      <c r="G339" s="4">
        <f t="array" aca="1" ref="G339" ca="1">MIN(IF(B339=INDEX(BD,,2),INDEX(BD,,9),0))</f>
        <v>0</v>
      </c>
    </row>
    <row r="340" spans="2:7" x14ac:dyDescent="0.3">
      <c r="B340" s="29">
        <v>44516</v>
      </c>
      <c r="C340" s="4">
        <f t="array" aca="1" ref="C340" ca="1">SUM(IF(B340=INDEX(BD,,2),INDEX(BD,,9),""))</f>
        <v>0</v>
      </c>
      <c r="D340" s="17">
        <f t="array" aca="1" ref="D340" ca="1">COUNT(IF(B340=INDEX(BD,,2),INDEX(BD,,9),""))</f>
        <v>0</v>
      </c>
      <c r="E340" s="4">
        <f t="array" aca="1" ref="E340" ca="1">IFERROR(AVERAGE(IF(B340=INDEX(BD,,2),INDEX(BD,,9),"")),0)</f>
        <v>0</v>
      </c>
      <c r="F340" s="4">
        <f t="array" aca="1" ref="F340" ca="1">MAX(IF(B340=INDEX(BD,,2),INDEX(BD,,9),""))</f>
        <v>0</v>
      </c>
      <c r="G340" s="4">
        <f t="array" aca="1" ref="G340" ca="1">MIN(IF(B340=INDEX(BD,,2),INDEX(BD,,9),0))</f>
        <v>0</v>
      </c>
    </row>
    <row r="341" spans="2:7" x14ac:dyDescent="0.3">
      <c r="B341" s="29">
        <v>44517</v>
      </c>
      <c r="C341" s="4">
        <f t="array" aca="1" ref="C341" ca="1">SUM(IF(B341=INDEX(BD,,2),INDEX(BD,,9),""))</f>
        <v>0</v>
      </c>
      <c r="D341" s="17">
        <f t="array" aca="1" ref="D341" ca="1">COUNT(IF(B341=INDEX(BD,,2),INDEX(BD,,9),""))</f>
        <v>0</v>
      </c>
      <c r="E341" s="4">
        <f t="array" aca="1" ref="E341" ca="1">IFERROR(AVERAGE(IF(B341=INDEX(BD,,2),INDEX(BD,,9),"")),0)</f>
        <v>0</v>
      </c>
      <c r="F341" s="4">
        <f t="array" aca="1" ref="F341" ca="1">MAX(IF(B341=INDEX(BD,,2),INDEX(BD,,9),""))</f>
        <v>0</v>
      </c>
      <c r="G341" s="4">
        <f t="array" aca="1" ref="G341" ca="1">MIN(IF(B341=INDEX(BD,,2),INDEX(BD,,9),0))</f>
        <v>0</v>
      </c>
    </row>
    <row r="342" spans="2:7" x14ac:dyDescent="0.3">
      <c r="B342" s="29">
        <v>44518</v>
      </c>
      <c r="C342" s="4">
        <f t="array" aca="1" ref="C342" ca="1">SUM(IF(B342=INDEX(BD,,2),INDEX(BD,,9),""))</f>
        <v>0</v>
      </c>
      <c r="D342" s="17">
        <f t="array" aca="1" ref="D342" ca="1">COUNT(IF(B342=INDEX(BD,,2),INDEX(BD,,9),""))</f>
        <v>0</v>
      </c>
      <c r="E342" s="4">
        <f t="array" aca="1" ref="E342" ca="1">IFERROR(AVERAGE(IF(B342=INDEX(BD,,2),INDEX(BD,,9),"")),0)</f>
        <v>0</v>
      </c>
      <c r="F342" s="4">
        <f t="array" aca="1" ref="F342" ca="1">MAX(IF(B342=INDEX(BD,,2),INDEX(BD,,9),""))</f>
        <v>0</v>
      </c>
      <c r="G342" s="4">
        <f t="array" aca="1" ref="G342" ca="1">MIN(IF(B342=INDEX(BD,,2),INDEX(BD,,9),0))</f>
        <v>0</v>
      </c>
    </row>
    <row r="343" spans="2:7" x14ac:dyDescent="0.3">
      <c r="B343" s="29">
        <v>44519</v>
      </c>
      <c r="C343" s="4">
        <f t="array" aca="1" ref="C343" ca="1">SUM(IF(B343=INDEX(BD,,2),INDEX(BD,,9),""))</f>
        <v>0</v>
      </c>
      <c r="D343" s="17">
        <f t="array" aca="1" ref="D343" ca="1">COUNT(IF(B343=INDEX(BD,,2),INDEX(BD,,9),""))</f>
        <v>0</v>
      </c>
      <c r="E343" s="4">
        <f t="array" aca="1" ref="E343" ca="1">IFERROR(AVERAGE(IF(B343=INDEX(BD,,2),INDEX(BD,,9),"")),0)</f>
        <v>0</v>
      </c>
      <c r="F343" s="4">
        <f t="array" aca="1" ref="F343" ca="1">MAX(IF(B343=INDEX(BD,,2),INDEX(BD,,9),""))</f>
        <v>0</v>
      </c>
      <c r="G343" s="4">
        <f t="array" aca="1" ref="G343" ca="1">MIN(IF(B343=INDEX(BD,,2),INDEX(BD,,9),0))</f>
        <v>0</v>
      </c>
    </row>
    <row r="344" spans="2:7" x14ac:dyDescent="0.3">
      <c r="B344" s="29">
        <v>44520</v>
      </c>
      <c r="C344" s="4">
        <f t="array" aca="1" ref="C344" ca="1">SUM(IF(B344=INDEX(BD,,2),INDEX(BD,,9),""))</f>
        <v>0</v>
      </c>
      <c r="D344" s="17">
        <f t="array" aca="1" ref="D344" ca="1">COUNT(IF(B344=INDEX(BD,,2),INDEX(BD,,9),""))</f>
        <v>0</v>
      </c>
      <c r="E344" s="4">
        <f t="array" aca="1" ref="E344" ca="1">IFERROR(AVERAGE(IF(B344=INDEX(BD,,2),INDEX(BD,,9),"")),0)</f>
        <v>0</v>
      </c>
      <c r="F344" s="4">
        <f t="array" aca="1" ref="F344" ca="1">MAX(IF(B344=INDEX(BD,,2),INDEX(BD,,9),""))</f>
        <v>0</v>
      </c>
      <c r="G344" s="4">
        <f t="array" aca="1" ref="G344" ca="1">MIN(IF(B344=INDEX(BD,,2),INDEX(BD,,9),0))</f>
        <v>0</v>
      </c>
    </row>
    <row r="345" spans="2:7" x14ac:dyDescent="0.3">
      <c r="B345" s="29">
        <v>44521</v>
      </c>
      <c r="C345" s="4">
        <f t="array" aca="1" ref="C345" ca="1">SUM(IF(B345=INDEX(BD,,2),INDEX(BD,,9),""))</f>
        <v>0</v>
      </c>
      <c r="D345" s="17">
        <f t="array" aca="1" ref="D345" ca="1">COUNT(IF(B345=INDEX(BD,,2),INDEX(BD,,9),""))</f>
        <v>0</v>
      </c>
      <c r="E345" s="4">
        <f t="array" aca="1" ref="E345" ca="1">IFERROR(AVERAGE(IF(B345=INDEX(BD,,2),INDEX(BD,,9),"")),0)</f>
        <v>0</v>
      </c>
      <c r="F345" s="4">
        <f t="array" aca="1" ref="F345" ca="1">MAX(IF(B345=INDEX(BD,,2),INDEX(BD,,9),""))</f>
        <v>0</v>
      </c>
      <c r="G345" s="4">
        <f t="array" aca="1" ref="G345" ca="1">MIN(IF(B345=INDEX(BD,,2),INDEX(BD,,9),0))</f>
        <v>0</v>
      </c>
    </row>
    <row r="346" spans="2:7" x14ac:dyDescent="0.3">
      <c r="B346" s="29">
        <v>44522</v>
      </c>
      <c r="C346" s="4">
        <f t="array" aca="1" ref="C346" ca="1">SUM(IF(B346=INDEX(BD,,2),INDEX(BD,,9),""))</f>
        <v>0</v>
      </c>
      <c r="D346" s="17">
        <f t="array" aca="1" ref="D346" ca="1">COUNT(IF(B346=INDEX(BD,,2),INDEX(BD,,9),""))</f>
        <v>0</v>
      </c>
      <c r="E346" s="4">
        <f t="array" aca="1" ref="E346" ca="1">IFERROR(AVERAGE(IF(B346=INDEX(BD,,2),INDEX(BD,,9),"")),0)</f>
        <v>0</v>
      </c>
      <c r="F346" s="4">
        <f t="array" aca="1" ref="F346" ca="1">MAX(IF(B346=INDEX(BD,,2),INDEX(BD,,9),""))</f>
        <v>0</v>
      </c>
      <c r="G346" s="4">
        <f t="array" aca="1" ref="G346" ca="1">MIN(IF(B346=INDEX(BD,,2),INDEX(BD,,9),0))</f>
        <v>0</v>
      </c>
    </row>
    <row r="347" spans="2:7" x14ac:dyDescent="0.3">
      <c r="B347" s="29">
        <v>44523</v>
      </c>
      <c r="C347" s="4">
        <f t="array" aca="1" ref="C347" ca="1">SUM(IF(B347=INDEX(BD,,2),INDEX(BD,,9),""))</f>
        <v>0</v>
      </c>
      <c r="D347" s="17">
        <f t="array" aca="1" ref="D347" ca="1">COUNT(IF(B347=INDEX(BD,,2),INDEX(BD,,9),""))</f>
        <v>0</v>
      </c>
      <c r="E347" s="4">
        <f t="array" aca="1" ref="E347" ca="1">IFERROR(AVERAGE(IF(B347=INDEX(BD,,2),INDEX(BD,,9),"")),0)</f>
        <v>0</v>
      </c>
      <c r="F347" s="4">
        <f t="array" aca="1" ref="F347" ca="1">MAX(IF(B347=INDEX(BD,,2),INDEX(BD,,9),""))</f>
        <v>0</v>
      </c>
      <c r="G347" s="4">
        <f t="array" aca="1" ref="G347" ca="1">MIN(IF(B347=INDEX(BD,,2),INDEX(BD,,9),0))</f>
        <v>0</v>
      </c>
    </row>
    <row r="348" spans="2:7" x14ac:dyDescent="0.3">
      <c r="B348" s="29">
        <v>44524</v>
      </c>
      <c r="C348" s="4">
        <f t="array" aca="1" ref="C348" ca="1">SUM(IF(B348=INDEX(BD,,2),INDEX(BD,,9),""))</f>
        <v>0</v>
      </c>
      <c r="D348" s="17">
        <f t="array" aca="1" ref="D348" ca="1">COUNT(IF(B348=INDEX(BD,,2),INDEX(BD,,9),""))</f>
        <v>0</v>
      </c>
      <c r="E348" s="4">
        <f t="array" aca="1" ref="E348" ca="1">IFERROR(AVERAGE(IF(B348=INDEX(BD,,2),INDEX(BD,,9),"")),0)</f>
        <v>0</v>
      </c>
      <c r="F348" s="4">
        <f t="array" aca="1" ref="F348" ca="1">MAX(IF(B348=INDEX(BD,,2),INDEX(BD,,9),""))</f>
        <v>0</v>
      </c>
      <c r="G348" s="4">
        <f t="array" aca="1" ref="G348" ca="1">MIN(IF(B348=INDEX(BD,,2),INDEX(BD,,9),0))</f>
        <v>0</v>
      </c>
    </row>
    <row r="349" spans="2:7" x14ac:dyDescent="0.3">
      <c r="B349" s="29">
        <v>44525</v>
      </c>
      <c r="C349" s="4">
        <f t="array" aca="1" ref="C349" ca="1">SUM(IF(B349=INDEX(BD,,2),INDEX(BD,,9),""))</f>
        <v>0</v>
      </c>
      <c r="D349" s="17">
        <f t="array" aca="1" ref="D349" ca="1">COUNT(IF(B349=INDEX(BD,,2),INDEX(BD,,9),""))</f>
        <v>0</v>
      </c>
      <c r="E349" s="4">
        <f t="array" aca="1" ref="E349" ca="1">IFERROR(AVERAGE(IF(B349=INDEX(BD,,2),INDEX(BD,,9),"")),0)</f>
        <v>0</v>
      </c>
      <c r="F349" s="4">
        <f t="array" aca="1" ref="F349" ca="1">MAX(IF(B349=INDEX(BD,,2),INDEX(BD,,9),""))</f>
        <v>0</v>
      </c>
      <c r="G349" s="4">
        <f t="array" aca="1" ref="G349" ca="1">MIN(IF(B349=INDEX(BD,,2),INDEX(BD,,9),0))</f>
        <v>0</v>
      </c>
    </row>
    <row r="350" spans="2:7" x14ac:dyDescent="0.3">
      <c r="B350" s="29">
        <v>44526</v>
      </c>
      <c r="C350" s="4">
        <f t="array" aca="1" ref="C350" ca="1">SUM(IF(B350=INDEX(BD,,2),INDEX(BD,,9),""))</f>
        <v>0</v>
      </c>
      <c r="D350" s="17">
        <f t="array" aca="1" ref="D350" ca="1">COUNT(IF(B350=INDEX(BD,,2),INDEX(BD,,9),""))</f>
        <v>0</v>
      </c>
      <c r="E350" s="4">
        <f t="array" aca="1" ref="E350" ca="1">IFERROR(AVERAGE(IF(B350=INDEX(BD,,2),INDEX(BD,,9),"")),0)</f>
        <v>0</v>
      </c>
      <c r="F350" s="4">
        <f t="array" aca="1" ref="F350" ca="1">MAX(IF(B350=INDEX(BD,,2),INDEX(BD,,9),""))</f>
        <v>0</v>
      </c>
      <c r="G350" s="4">
        <f t="array" aca="1" ref="G350" ca="1">MIN(IF(B350=INDEX(BD,,2),INDEX(BD,,9),0))</f>
        <v>0</v>
      </c>
    </row>
    <row r="351" spans="2:7" x14ac:dyDescent="0.3">
      <c r="B351" s="29">
        <v>44527</v>
      </c>
      <c r="C351" s="4">
        <f t="array" aca="1" ref="C351" ca="1">SUM(IF(B351=INDEX(BD,,2),INDEX(BD,,9),""))</f>
        <v>0</v>
      </c>
      <c r="D351" s="17">
        <f t="array" aca="1" ref="D351" ca="1">COUNT(IF(B351=INDEX(BD,,2),INDEX(BD,,9),""))</f>
        <v>0</v>
      </c>
      <c r="E351" s="4">
        <f t="array" aca="1" ref="E351" ca="1">IFERROR(AVERAGE(IF(B351=INDEX(BD,,2),INDEX(BD,,9),"")),0)</f>
        <v>0</v>
      </c>
      <c r="F351" s="4">
        <f t="array" aca="1" ref="F351" ca="1">MAX(IF(B351=INDEX(BD,,2),INDEX(BD,,9),""))</f>
        <v>0</v>
      </c>
      <c r="G351" s="4">
        <f t="array" aca="1" ref="G351" ca="1">MIN(IF(B351=INDEX(BD,,2),INDEX(BD,,9),0))</f>
        <v>0</v>
      </c>
    </row>
    <row r="352" spans="2:7" x14ac:dyDescent="0.3">
      <c r="B352" s="29">
        <v>44528</v>
      </c>
      <c r="C352" s="4">
        <f t="array" aca="1" ref="C352" ca="1">SUM(IF(B352=INDEX(BD,,2),INDEX(BD,,9),""))</f>
        <v>0</v>
      </c>
      <c r="D352" s="17">
        <f t="array" aca="1" ref="D352" ca="1">COUNT(IF(B352=INDEX(BD,,2),INDEX(BD,,9),""))</f>
        <v>0</v>
      </c>
      <c r="E352" s="4">
        <f t="array" aca="1" ref="E352" ca="1">IFERROR(AVERAGE(IF(B352=INDEX(BD,,2),INDEX(BD,,9),"")),0)</f>
        <v>0</v>
      </c>
      <c r="F352" s="4">
        <f t="array" aca="1" ref="F352" ca="1">MAX(IF(B352=INDEX(BD,,2),INDEX(BD,,9),""))</f>
        <v>0</v>
      </c>
      <c r="G352" s="4">
        <f t="array" aca="1" ref="G352" ca="1">MIN(IF(B352=INDEX(BD,,2),INDEX(BD,,9),0))</f>
        <v>0</v>
      </c>
    </row>
    <row r="353" spans="2:7" x14ac:dyDescent="0.3">
      <c r="B353" s="29">
        <v>44529</v>
      </c>
      <c r="C353" s="4">
        <f t="array" aca="1" ref="C353" ca="1">SUM(IF(B353=INDEX(BD,,2),INDEX(BD,,9),""))</f>
        <v>0</v>
      </c>
      <c r="D353" s="17">
        <f t="array" aca="1" ref="D353" ca="1">COUNT(IF(B353=INDEX(BD,,2),INDEX(BD,,9),""))</f>
        <v>0</v>
      </c>
      <c r="E353" s="4">
        <f t="array" aca="1" ref="E353" ca="1">IFERROR(AVERAGE(IF(B353=INDEX(BD,,2),INDEX(BD,,9),"")),0)</f>
        <v>0</v>
      </c>
      <c r="F353" s="4">
        <f t="array" aca="1" ref="F353" ca="1">MAX(IF(B353=INDEX(BD,,2),INDEX(BD,,9),""))</f>
        <v>0</v>
      </c>
      <c r="G353" s="4">
        <f t="array" aca="1" ref="G353" ca="1">MIN(IF(B353=INDEX(BD,,2),INDEX(BD,,9),0))</f>
        <v>0</v>
      </c>
    </row>
    <row r="354" spans="2:7" x14ac:dyDescent="0.3">
      <c r="B354" s="29">
        <v>44530</v>
      </c>
      <c r="C354" s="4">
        <f t="array" aca="1" ref="C354" ca="1">SUM(IF(B354=INDEX(BD,,2),INDEX(BD,,9),""))</f>
        <v>0</v>
      </c>
      <c r="D354" s="17">
        <f t="array" aca="1" ref="D354" ca="1">COUNT(IF(B354=INDEX(BD,,2),INDEX(BD,,9),""))</f>
        <v>0</v>
      </c>
      <c r="E354" s="4">
        <f t="array" aca="1" ref="E354" ca="1">IFERROR(AVERAGE(IF(B354=INDEX(BD,,2),INDEX(BD,,9),"")),0)</f>
        <v>0</v>
      </c>
      <c r="F354" s="4">
        <f t="array" aca="1" ref="F354" ca="1">MAX(IF(B354=INDEX(BD,,2),INDEX(BD,,9),""))</f>
        <v>0</v>
      </c>
      <c r="G354" s="4">
        <f t="array" aca="1" ref="G354" ca="1">MIN(IF(B354=INDEX(BD,,2),INDEX(BD,,9),0))</f>
        <v>0</v>
      </c>
    </row>
    <row r="355" spans="2:7" x14ac:dyDescent="0.3">
      <c r="B355" s="29">
        <v>44531</v>
      </c>
      <c r="C355" s="4">
        <f t="array" aca="1" ref="C355" ca="1">SUM(IF(B355=INDEX(BD,,2),INDEX(BD,,9),""))</f>
        <v>0</v>
      </c>
      <c r="D355" s="17">
        <f t="array" aca="1" ref="D355" ca="1">COUNT(IF(B355=INDEX(BD,,2),INDEX(BD,,9),""))</f>
        <v>0</v>
      </c>
      <c r="E355" s="4">
        <f t="array" aca="1" ref="E355" ca="1">IFERROR(AVERAGE(IF(B355=INDEX(BD,,2),INDEX(BD,,9),"")),0)</f>
        <v>0</v>
      </c>
      <c r="F355" s="4">
        <f t="array" aca="1" ref="F355" ca="1">MAX(IF(B355=INDEX(BD,,2),INDEX(BD,,9),""))</f>
        <v>0</v>
      </c>
      <c r="G355" s="4">
        <f t="array" aca="1" ref="G355" ca="1">MIN(IF(B355=INDEX(BD,,2),INDEX(BD,,9),0))</f>
        <v>0</v>
      </c>
    </row>
    <row r="356" spans="2:7" x14ac:dyDescent="0.3">
      <c r="B356" s="29">
        <v>44532</v>
      </c>
      <c r="C356" s="4">
        <f t="array" aca="1" ref="C356" ca="1">SUM(IF(B356=INDEX(BD,,2),INDEX(BD,,9),""))</f>
        <v>0</v>
      </c>
      <c r="D356" s="17">
        <f t="array" aca="1" ref="D356" ca="1">COUNT(IF(B356=INDEX(BD,,2),INDEX(BD,,9),""))</f>
        <v>0</v>
      </c>
      <c r="E356" s="4">
        <f t="array" aca="1" ref="E356" ca="1">IFERROR(AVERAGE(IF(B356=INDEX(BD,,2),INDEX(BD,,9),"")),0)</f>
        <v>0</v>
      </c>
      <c r="F356" s="4">
        <f t="array" aca="1" ref="F356" ca="1">MAX(IF(B356=INDEX(BD,,2),INDEX(BD,,9),""))</f>
        <v>0</v>
      </c>
      <c r="G356" s="4">
        <f t="array" aca="1" ref="G356" ca="1">MIN(IF(B356=INDEX(BD,,2),INDEX(BD,,9),0))</f>
        <v>0</v>
      </c>
    </row>
    <row r="357" spans="2:7" x14ac:dyDescent="0.3">
      <c r="B357" s="29">
        <v>44533</v>
      </c>
      <c r="C357" s="4">
        <f t="array" aca="1" ref="C357" ca="1">SUM(IF(B357=INDEX(BD,,2),INDEX(BD,,9),""))</f>
        <v>0</v>
      </c>
      <c r="D357" s="17">
        <f t="array" aca="1" ref="D357" ca="1">COUNT(IF(B357=INDEX(BD,,2),INDEX(BD,,9),""))</f>
        <v>0</v>
      </c>
      <c r="E357" s="4">
        <f t="array" aca="1" ref="E357" ca="1">IFERROR(AVERAGE(IF(B357=INDEX(BD,,2),INDEX(BD,,9),"")),0)</f>
        <v>0</v>
      </c>
      <c r="F357" s="4">
        <f t="array" aca="1" ref="F357" ca="1">MAX(IF(B357=INDEX(BD,,2),INDEX(BD,,9),""))</f>
        <v>0</v>
      </c>
      <c r="G357" s="4">
        <f t="array" aca="1" ref="G357" ca="1">MIN(IF(B357=INDEX(BD,,2),INDEX(BD,,9),0))</f>
        <v>0</v>
      </c>
    </row>
    <row r="358" spans="2:7" x14ac:dyDescent="0.3">
      <c r="B358" s="29">
        <v>44534</v>
      </c>
      <c r="C358" s="4">
        <f t="array" aca="1" ref="C358" ca="1">SUM(IF(B358=INDEX(BD,,2),INDEX(BD,,9),""))</f>
        <v>0</v>
      </c>
      <c r="D358" s="17">
        <f t="array" aca="1" ref="D358" ca="1">COUNT(IF(B358=INDEX(BD,,2),INDEX(BD,,9),""))</f>
        <v>0</v>
      </c>
      <c r="E358" s="4">
        <f t="array" aca="1" ref="E358" ca="1">IFERROR(AVERAGE(IF(B358=INDEX(BD,,2),INDEX(BD,,9),"")),0)</f>
        <v>0</v>
      </c>
      <c r="F358" s="4">
        <f t="array" aca="1" ref="F358" ca="1">MAX(IF(B358=INDEX(BD,,2),INDEX(BD,,9),""))</f>
        <v>0</v>
      </c>
      <c r="G358" s="4">
        <f t="array" aca="1" ref="G358" ca="1">MIN(IF(B358=INDEX(BD,,2),INDEX(BD,,9),0))</f>
        <v>0</v>
      </c>
    </row>
    <row r="359" spans="2:7" x14ac:dyDescent="0.3">
      <c r="B359" s="29">
        <v>44535</v>
      </c>
      <c r="C359" s="4">
        <f t="array" aca="1" ref="C359" ca="1">SUM(IF(B359=INDEX(BD,,2),INDEX(BD,,9),""))</f>
        <v>0</v>
      </c>
      <c r="D359" s="17">
        <f t="array" aca="1" ref="D359" ca="1">COUNT(IF(B359=INDEX(BD,,2),INDEX(BD,,9),""))</f>
        <v>0</v>
      </c>
      <c r="E359" s="4">
        <f t="array" aca="1" ref="E359" ca="1">IFERROR(AVERAGE(IF(B359=INDEX(BD,,2),INDEX(BD,,9),"")),0)</f>
        <v>0</v>
      </c>
      <c r="F359" s="4">
        <f t="array" aca="1" ref="F359" ca="1">MAX(IF(B359=INDEX(BD,,2),INDEX(BD,,9),""))</f>
        <v>0</v>
      </c>
      <c r="G359" s="4">
        <f t="array" aca="1" ref="G359" ca="1">MIN(IF(B359=INDEX(BD,,2),INDEX(BD,,9),0))</f>
        <v>0</v>
      </c>
    </row>
    <row r="360" spans="2:7" x14ac:dyDescent="0.3">
      <c r="B360" s="29">
        <v>44536</v>
      </c>
      <c r="C360" s="4">
        <f t="array" aca="1" ref="C360" ca="1">SUM(IF(B360=INDEX(BD,,2),INDEX(BD,,9),""))</f>
        <v>0</v>
      </c>
      <c r="D360" s="17">
        <f t="array" aca="1" ref="D360" ca="1">COUNT(IF(B360=INDEX(BD,,2),INDEX(BD,,9),""))</f>
        <v>0</v>
      </c>
      <c r="E360" s="4">
        <f t="array" aca="1" ref="E360" ca="1">IFERROR(AVERAGE(IF(B360=INDEX(BD,,2),INDEX(BD,,9),"")),0)</f>
        <v>0</v>
      </c>
      <c r="F360" s="4">
        <f t="array" aca="1" ref="F360" ca="1">MAX(IF(B360=INDEX(BD,,2),INDEX(BD,,9),""))</f>
        <v>0</v>
      </c>
      <c r="G360" s="4">
        <f t="array" aca="1" ref="G360" ca="1">MIN(IF(B360=INDEX(BD,,2),INDEX(BD,,9),0))</f>
        <v>0</v>
      </c>
    </row>
    <row r="361" spans="2:7" x14ac:dyDescent="0.3">
      <c r="B361" s="29">
        <v>44537</v>
      </c>
      <c r="C361" s="4">
        <f t="array" aca="1" ref="C361" ca="1">SUM(IF(B361=INDEX(BD,,2),INDEX(BD,,9),""))</f>
        <v>0</v>
      </c>
      <c r="D361" s="17">
        <f t="array" aca="1" ref="D361" ca="1">COUNT(IF(B361=INDEX(BD,,2),INDEX(BD,,9),""))</f>
        <v>0</v>
      </c>
      <c r="E361" s="4">
        <f t="array" aca="1" ref="E361" ca="1">IFERROR(AVERAGE(IF(B361=INDEX(BD,,2),INDEX(BD,,9),"")),0)</f>
        <v>0</v>
      </c>
      <c r="F361" s="4">
        <f t="array" aca="1" ref="F361" ca="1">MAX(IF(B361=INDEX(BD,,2),INDEX(BD,,9),""))</f>
        <v>0</v>
      </c>
      <c r="G361" s="4">
        <f t="array" aca="1" ref="G361" ca="1">MIN(IF(B361=INDEX(BD,,2),INDEX(BD,,9),0))</f>
        <v>0</v>
      </c>
    </row>
    <row r="362" spans="2:7" x14ac:dyDescent="0.3">
      <c r="B362" s="29">
        <v>44538</v>
      </c>
      <c r="C362" s="4">
        <f t="array" aca="1" ref="C362" ca="1">SUM(IF(B362=INDEX(BD,,2),INDEX(BD,,9),""))</f>
        <v>0</v>
      </c>
      <c r="D362" s="17">
        <f t="array" aca="1" ref="D362" ca="1">COUNT(IF(B362=INDEX(BD,,2),INDEX(BD,,9),""))</f>
        <v>0</v>
      </c>
      <c r="E362" s="4">
        <f t="array" aca="1" ref="E362" ca="1">IFERROR(AVERAGE(IF(B362=INDEX(BD,,2),INDEX(BD,,9),"")),0)</f>
        <v>0</v>
      </c>
      <c r="F362" s="4">
        <f t="array" aca="1" ref="F362" ca="1">MAX(IF(B362=INDEX(BD,,2),INDEX(BD,,9),""))</f>
        <v>0</v>
      </c>
      <c r="G362" s="4">
        <f t="array" aca="1" ref="G362" ca="1">MIN(IF(B362=INDEX(BD,,2),INDEX(BD,,9),0))</f>
        <v>0</v>
      </c>
    </row>
    <row r="363" spans="2:7" x14ac:dyDescent="0.3">
      <c r="B363" s="29">
        <v>44539</v>
      </c>
      <c r="C363" s="4">
        <f t="array" aca="1" ref="C363" ca="1">SUM(IF(B363=INDEX(BD,,2),INDEX(BD,,9),""))</f>
        <v>0</v>
      </c>
      <c r="D363" s="17">
        <f t="array" aca="1" ref="D363" ca="1">COUNT(IF(B363=INDEX(BD,,2),INDEX(BD,,9),""))</f>
        <v>0</v>
      </c>
      <c r="E363" s="4">
        <f t="array" aca="1" ref="E363" ca="1">IFERROR(AVERAGE(IF(B363=INDEX(BD,,2),INDEX(BD,,9),"")),0)</f>
        <v>0</v>
      </c>
      <c r="F363" s="4">
        <f t="array" aca="1" ref="F363" ca="1">MAX(IF(B363=INDEX(BD,,2),INDEX(BD,,9),""))</f>
        <v>0</v>
      </c>
      <c r="G363" s="4">
        <f t="array" aca="1" ref="G363" ca="1">MIN(IF(B363=INDEX(BD,,2),INDEX(BD,,9),0))</f>
        <v>0</v>
      </c>
    </row>
    <row r="364" spans="2:7" x14ac:dyDescent="0.3">
      <c r="B364" s="29">
        <v>44540</v>
      </c>
      <c r="C364" s="4">
        <f t="array" aca="1" ref="C364" ca="1">SUM(IF(B364=INDEX(BD,,2),INDEX(BD,,9),""))</f>
        <v>0</v>
      </c>
      <c r="D364" s="17">
        <f t="array" aca="1" ref="D364" ca="1">COUNT(IF(B364=INDEX(BD,,2),INDEX(BD,,9),""))</f>
        <v>0</v>
      </c>
      <c r="E364" s="4">
        <f t="array" aca="1" ref="E364" ca="1">IFERROR(AVERAGE(IF(B364=INDEX(BD,,2),INDEX(BD,,9),"")),0)</f>
        <v>0</v>
      </c>
      <c r="F364" s="4">
        <f t="array" aca="1" ref="F364" ca="1">MAX(IF(B364=INDEX(BD,,2),INDEX(BD,,9),""))</f>
        <v>0</v>
      </c>
      <c r="G364" s="4">
        <f t="array" aca="1" ref="G364" ca="1">MIN(IF(B364=INDEX(BD,,2),INDEX(BD,,9),0))</f>
        <v>0</v>
      </c>
    </row>
    <row r="365" spans="2:7" x14ac:dyDescent="0.3">
      <c r="B365" s="29">
        <v>44541</v>
      </c>
      <c r="C365" s="4">
        <f t="array" aca="1" ref="C365" ca="1">SUM(IF(B365=INDEX(BD,,2),INDEX(BD,,9),""))</f>
        <v>0</v>
      </c>
      <c r="D365" s="17">
        <f t="array" aca="1" ref="D365" ca="1">COUNT(IF(B365=INDEX(BD,,2),INDEX(BD,,9),""))</f>
        <v>0</v>
      </c>
      <c r="E365" s="4">
        <f t="array" aca="1" ref="E365" ca="1">IFERROR(AVERAGE(IF(B365=INDEX(BD,,2),INDEX(BD,,9),"")),0)</f>
        <v>0</v>
      </c>
      <c r="F365" s="4">
        <f t="array" aca="1" ref="F365" ca="1">MAX(IF(B365=INDEX(BD,,2),INDEX(BD,,9),""))</f>
        <v>0</v>
      </c>
      <c r="G365" s="4">
        <f t="array" aca="1" ref="G365" ca="1">MIN(IF(B365=INDEX(BD,,2),INDEX(BD,,9),0))</f>
        <v>0</v>
      </c>
    </row>
    <row r="366" spans="2:7" x14ac:dyDescent="0.3">
      <c r="B366" s="29">
        <v>44542</v>
      </c>
      <c r="C366" s="4">
        <f t="array" aca="1" ref="C366" ca="1">SUM(IF(B366=INDEX(BD,,2),INDEX(BD,,9),""))</f>
        <v>0</v>
      </c>
      <c r="D366" s="17">
        <f t="array" aca="1" ref="D366" ca="1">COUNT(IF(B366=INDEX(BD,,2),INDEX(BD,,9),""))</f>
        <v>0</v>
      </c>
      <c r="E366" s="4">
        <f t="array" aca="1" ref="E366" ca="1">IFERROR(AVERAGE(IF(B366=INDEX(BD,,2),INDEX(BD,,9),"")),0)</f>
        <v>0</v>
      </c>
      <c r="F366" s="4">
        <f t="array" aca="1" ref="F366" ca="1">MAX(IF(B366=INDEX(BD,,2),INDEX(BD,,9),""))</f>
        <v>0</v>
      </c>
      <c r="G366" s="4">
        <f t="array" aca="1" ref="G366" ca="1">MIN(IF(B366=INDEX(BD,,2),INDEX(BD,,9),0))</f>
        <v>0</v>
      </c>
    </row>
    <row r="367" spans="2:7" x14ac:dyDescent="0.3">
      <c r="B367" s="29">
        <v>44543</v>
      </c>
      <c r="C367" s="4">
        <f t="array" aca="1" ref="C367" ca="1">SUM(IF(B367=INDEX(BD,,2),INDEX(BD,,9),""))</f>
        <v>0</v>
      </c>
      <c r="D367" s="17">
        <f t="array" aca="1" ref="D367" ca="1">COUNT(IF(B367=INDEX(BD,,2),INDEX(BD,,9),""))</f>
        <v>0</v>
      </c>
      <c r="E367" s="4">
        <f t="array" aca="1" ref="E367" ca="1">IFERROR(AVERAGE(IF(B367=INDEX(BD,,2),INDEX(BD,,9),"")),0)</f>
        <v>0</v>
      </c>
      <c r="F367" s="4">
        <f t="array" aca="1" ref="F367" ca="1">MAX(IF(B367=INDEX(BD,,2),INDEX(BD,,9),""))</f>
        <v>0</v>
      </c>
      <c r="G367" s="4">
        <f t="array" aca="1" ref="G367" ca="1">MIN(IF(B367=INDEX(BD,,2),INDEX(BD,,9),0))</f>
        <v>0</v>
      </c>
    </row>
    <row r="368" spans="2:7" x14ac:dyDescent="0.3">
      <c r="B368" s="29">
        <v>44544</v>
      </c>
      <c r="C368" s="4">
        <f t="array" aca="1" ref="C368" ca="1">SUM(IF(B368=INDEX(BD,,2),INDEX(BD,,9),""))</f>
        <v>0</v>
      </c>
      <c r="D368" s="17">
        <f t="array" aca="1" ref="D368" ca="1">COUNT(IF(B368=INDEX(BD,,2),INDEX(BD,,9),""))</f>
        <v>0</v>
      </c>
      <c r="E368" s="4">
        <f t="array" aca="1" ref="E368" ca="1">IFERROR(AVERAGE(IF(B368=INDEX(BD,,2),INDEX(BD,,9),"")),0)</f>
        <v>0</v>
      </c>
      <c r="F368" s="4">
        <f t="array" aca="1" ref="F368" ca="1">MAX(IF(B368=INDEX(BD,,2),INDEX(BD,,9),""))</f>
        <v>0</v>
      </c>
      <c r="G368" s="4">
        <f t="array" aca="1" ref="G368" ca="1">MIN(IF(B368=INDEX(BD,,2),INDEX(BD,,9),0))</f>
        <v>0</v>
      </c>
    </row>
    <row r="369" spans="2:7" x14ac:dyDescent="0.3">
      <c r="B369" s="29">
        <v>44545</v>
      </c>
      <c r="C369" s="4">
        <f t="array" aca="1" ref="C369" ca="1">SUM(IF(B369=INDEX(BD,,2),INDEX(BD,,9),""))</f>
        <v>0</v>
      </c>
      <c r="D369" s="17">
        <f t="array" aca="1" ref="D369" ca="1">COUNT(IF(B369=INDEX(BD,,2),INDEX(BD,,9),""))</f>
        <v>0</v>
      </c>
      <c r="E369" s="4">
        <f t="array" aca="1" ref="E369" ca="1">IFERROR(AVERAGE(IF(B369=INDEX(BD,,2),INDEX(BD,,9),"")),0)</f>
        <v>0</v>
      </c>
      <c r="F369" s="4">
        <f t="array" aca="1" ref="F369" ca="1">MAX(IF(B369=INDEX(BD,,2),INDEX(BD,,9),""))</f>
        <v>0</v>
      </c>
      <c r="G369" s="4">
        <f t="array" aca="1" ref="G369" ca="1">MIN(IF(B369=INDEX(BD,,2),INDEX(BD,,9),0))</f>
        <v>0</v>
      </c>
    </row>
    <row r="370" spans="2:7" x14ac:dyDescent="0.3">
      <c r="B370" s="29">
        <v>44546</v>
      </c>
      <c r="C370" s="4">
        <f t="array" aca="1" ref="C370" ca="1">SUM(IF(B370=INDEX(BD,,2),INDEX(BD,,9),""))</f>
        <v>0</v>
      </c>
      <c r="D370" s="17">
        <f t="array" aca="1" ref="D370" ca="1">COUNT(IF(B370=INDEX(BD,,2),INDEX(BD,,9),""))</f>
        <v>0</v>
      </c>
      <c r="E370" s="4">
        <f t="array" aca="1" ref="E370" ca="1">IFERROR(AVERAGE(IF(B370=INDEX(BD,,2),INDEX(BD,,9),"")),0)</f>
        <v>0</v>
      </c>
      <c r="F370" s="4">
        <f t="array" aca="1" ref="F370" ca="1">MAX(IF(B370=INDEX(BD,,2),INDEX(BD,,9),""))</f>
        <v>0</v>
      </c>
      <c r="G370" s="4">
        <f t="array" aca="1" ref="G370" ca="1">MIN(IF(B370=INDEX(BD,,2),INDEX(BD,,9),0))</f>
        <v>0</v>
      </c>
    </row>
    <row r="371" spans="2:7" x14ac:dyDescent="0.3">
      <c r="B371" s="29">
        <v>44547</v>
      </c>
      <c r="C371" s="4">
        <f t="array" aca="1" ref="C371" ca="1">SUM(IF(B371=INDEX(BD,,2),INDEX(BD,,9),""))</f>
        <v>0</v>
      </c>
      <c r="D371" s="17">
        <f t="array" aca="1" ref="D371" ca="1">COUNT(IF(B371=INDEX(BD,,2),INDEX(BD,,9),""))</f>
        <v>0</v>
      </c>
      <c r="E371" s="4">
        <f t="array" aca="1" ref="E371" ca="1">IFERROR(AVERAGE(IF(B371=INDEX(BD,,2),INDEX(BD,,9),"")),0)</f>
        <v>0</v>
      </c>
      <c r="F371" s="4">
        <f t="array" aca="1" ref="F371" ca="1">MAX(IF(B371=INDEX(BD,,2),INDEX(BD,,9),""))</f>
        <v>0</v>
      </c>
      <c r="G371" s="4">
        <f t="array" aca="1" ref="G371" ca="1">MIN(IF(B371=INDEX(BD,,2),INDEX(BD,,9),0))</f>
        <v>0</v>
      </c>
    </row>
    <row r="372" spans="2:7" x14ac:dyDescent="0.3">
      <c r="B372" s="29">
        <v>44548</v>
      </c>
      <c r="C372" s="4">
        <f t="array" aca="1" ref="C372" ca="1">SUM(IF(B372=INDEX(BD,,2),INDEX(BD,,9),""))</f>
        <v>0</v>
      </c>
      <c r="D372" s="17">
        <f t="array" aca="1" ref="D372" ca="1">COUNT(IF(B372=INDEX(BD,,2),INDEX(BD,,9),""))</f>
        <v>0</v>
      </c>
      <c r="E372" s="4">
        <f t="array" aca="1" ref="E372" ca="1">IFERROR(AVERAGE(IF(B372=INDEX(BD,,2),INDEX(BD,,9),"")),0)</f>
        <v>0</v>
      </c>
      <c r="F372" s="4">
        <f t="array" aca="1" ref="F372" ca="1">MAX(IF(B372=INDEX(BD,,2),INDEX(BD,,9),""))</f>
        <v>0</v>
      </c>
      <c r="G372" s="4">
        <f t="array" aca="1" ref="G372" ca="1">MIN(IF(B372=INDEX(BD,,2),INDEX(BD,,9),0))</f>
        <v>0</v>
      </c>
    </row>
    <row r="373" spans="2:7" x14ac:dyDescent="0.3">
      <c r="B373" s="29">
        <v>44549</v>
      </c>
      <c r="C373" s="4">
        <f t="array" aca="1" ref="C373" ca="1">SUM(IF(B373=INDEX(BD,,2),INDEX(BD,,9),""))</f>
        <v>0</v>
      </c>
      <c r="D373" s="17">
        <f t="array" aca="1" ref="D373" ca="1">COUNT(IF(B373=INDEX(BD,,2),INDEX(BD,,9),""))</f>
        <v>0</v>
      </c>
      <c r="E373" s="4">
        <f t="array" aca="1" ref="E373" ca="1">IFERROR(AVERAGE(IF(B373=INDEX(BD,,2),INDEX(BD,,9),"")),0)</f>
        <v>0</v>
      </c>
      <c r="F373" s="4">
        <f t="array" aca="1" ref="F373" ca="1">MAX(IF(B373=INDEX(BD,,2),INDEX(BD,,9),""))</f>
        <v>0</v>
      </c>
      <c r="G373" s="4">
        <f t="array" aca="1" ref="G373" ca="1">MIN(IF(B373=INDEX(BD,,2),INDEX(BD,,9),0))</f>
        <v>0</v>
      </c>
    </row>
    <row r="374" spans="2:7" x14ac:dyDescent="0.3">
      <c r="B374" s="29">
        <v>44550</v>
      </c>
      <c r="C374" s="4">
        <f t="array" aca="1" ref="C374" ca="1">SUM(IF(B374=INDEX(BD,,2),INDEX(BD,,9),""))</f>
        <v>0</v>
      </c>
      <c r="D374" s="17">
        <f t="array" aca="1" ref="D374" ca="1">COUNT(IF(B374=INDEX(BD,,2),INDEX(BD,,9),""))</f>
        <v>0</v>
      </c>
      <c r="E374" s="4">
        <f t="array" aca="1" ref="E374" ca="1">IFERROR(AVERAGE(IF(B374=INDEX(BD,,2),INDEX(BD,,9),"")),0)</f>
        <v>0</v>
      </c>
      <c r="F374" s="4">
        <f t="array" aca="1" ref="F374" ca="1">MAX(IF(B374=INDEX(BD,,2),INDEX(BD,,9),""))</f>
        <v>0</v>
      </c>
      <c r="G374" s="4">
        <f t="array" aca="1" ref="G374" ca="1">MIN(IF(B374=INDEX(BD,,2),INDEX(BD,,9),0))</f>
        <v>0</v>
      </c>
    </row>
    <row r="375" spans="2:7" x14ac:dyDescent="0.3">
      <c r="B375" s="29">
        <v>44551</v>
      </c>
      <c r="C375" s="4">
        <f t="array" aca="1" ref="C375" ca="1">SUM(IF(B375=INDEX(BD,,2),INDEX(BD,,9),""))</f>
        <v>0</v>
      </c>
      <c r="D375" s="17">
        <f t="array" aca="1" ref="D375" ca="1">COUNT(IF(B375=INDEX(BD,,2),INDEX(BD,,9),""))</f>
        <v>0</v>
      </c>
      <c r="E375" s="4">
        <f t="array" aca="1" ref="E375" ca="1">IFERROR(AVERAGE(IF(B375=INDEX(BD,,2),INDEX(BD,,9),"")),0)</f>
        <v>0</v>
      </c>
      <c r="F375" s="4">
        <f t="array" aca="1" ref="F375" ca="1">MAX(IF(B375=INDEX(BD,,2),INDEX(BD,,9),""))</f>
        <v>0</v>
      </c>
      <c r="G375" s="4">
        <f t="array" aca="1" ref="G375" ca="1">MIN(IF(B375=INDEX(BD,,2),INDEX(BD,,9),0))</f>
        <v>0</v>
      </c>
    </row>
    <row r="376" spans="2:7" x14ac:dyDescent="0.3">
      <c r="B376" s="29">
        <v>44552</v>
      </c>
      <c r="C376" s="4">
        <f t="array" aca="1" ref="C376" ca="1">SUM(IF(B376=INDEX(BD,,2),INDEX(BD,,9),""))</f>
        <v>0</v>
      </c>
      <c r="D376" s="17">
        <f t="array" aca="1" ref="D376" ca="1">COUNT(IF(B376=INDEX(BD,,2),INDEX(BD,,9),""))</f>
        <v>0</v>
      </c>
      <c r="E376" s="4">
        <f t="array" aca="1" ref="E376" ca="1">IFERROR(AVERAGE(IF(B376=INDEX(BD,,2),INDEX(BD,,9),"")),0)</f>
        <v>0</v>
      </c>
      <c r="F376" s="4">
        <f t="array" aca="1" ref="F376" ca="1">MAX(IF(B376=INDEX(BD,,2),INDEX(BD,,9),""))</f>
        <v>0</v>
      </c>
      <c r="G376" s="4">
        <f t="array" aca="1" ref="G376" ca="1">MIN(IF(B376=INDEX(BD,,2),INDEX(BD,,9),0))</f>
        <v>0</v>
      </c>
    </row>
    <row r="377" spans="2:7" x14ac:dyDescent="0.3">
      <c r="B377" s="29">
        <v>44553</v>
      </c>
      <c r="C377" s="4">
        <f t="array" aca="1" ref="C377" ca="1">SUM(IF(B377=INDEX(BD,,2),INDEX(BD,,9),""))</f>
        <v>0</v>
      </c>
      <c r="D377" s="17">
        <f t="array" aca="1" ref="D377" ca="1">COUNT(IF(B377=INDEX(BD,,2),INDEX(BD,,9),""))</f>
        <v>0</v>
      </c>
      <c r="E377" s="4">
        <f t="array" aca="1" ref="E377" ca="1">IFERROR(AVERAGE(IF(B377=INDEX(BD,,2),INDEX(BD,,9),"")),0)</f>
        <v>0</v>
      </c>
      <c r="F377" s="4">
        <f t="array" aca="1" ref="F377" ca="1">MAX(IF(B377=INDEX(BD,,2),INDEX(BD,,9),""))</f>
        <v>0</v>
      </c>
      <c r="G377" s="4">
        <f t="array" aca="1" ref="G377" ca="1">MIN(IF(B377=INDEX(BD,,2),INDEX(BD,,9),0))</f>
        <v>0</v>
      </c>
    </row>
    <row r="378" spans="2:7" x14ac:dyDescent="0.3">
      <c r="B378" s="29">
        <v>44554</v>
      </c>
      <c r="C378" s="4">
        <f t="array" aca="1" ref="C378" ca="1">SUM(IF(B378=INDEX(BD,,2),INDEX(BD,,9),""))</f>
        <v>0</v>
      </c>
      <c r="D378" s="17">
        <f t="array" aca="1" ref="D378" ca="1">COUNT(IF(B378=INDEX(BD,,2),INDEX(BD,,9),""))</f>
        <v>0</v>
      </c>
      <c r="E378" s="4">
        <f t="array" aca="1" ref="E378" ca="1">IFERROR(AVERAGE(IF(B378=INDEX(BD,,2),INDEX(BD,,9),"")),0)</f>
        <v>0</v>
      </c>
      <c r="F378" s="4">
        <f t="array" aca="1" ref="F378" ca="1">MAX(IF(B378=INDEX(BD,,2),INDEX(BD,,9),""))</f>
        <v>0</v>
      </c>
      <c r="G378" s="4">
        <f t="array" aca="1" ref="G378" ca="1">MIN(IF(B378=INDEX(BD,,2),INDEX(BD,,9),0))</f>
        <v>0</v>
      </c>
    </row>
    <row r="379" spans="2:7" x14ac:dyDescent="0.3">
      <c r="B379" s="29">
        <v>44555</v>
      </c>
      <c r="C379" s="4">
        <f t="array" aca="1" ref="C379" ca="1">SUM(IF(B379=INDEX(BD,,2),INDEX(BD,,9),""))</f>
        <v>0</v>
      </c>
      <c r="D379" s="17">
        <f t="array" aca="1" ref="D379" ca="1">COUNT(IF(B379=INDEX(BD,,2),INDEX(BD,,9),""))</f>
        <v>0</v>
      </c>
      <c r="E379" s="4">
        <f t="array" aca="1" ref="E379" ca="1">IFERROR(AVERAGE(IF(B379=INDEX(BD,,2),INDEX(BD,,9),"")),0)</f>
        <v>0</v>
      </c>
      <c r="F379" s="4">
        <f t="array" aca="1" ref="F379" ca="1">MAX(IF(B379=INDEX(BD,,2),INDEX(BD,,9),""))</f>
        <v>0</v>
      </c>
      <c r="G379" s="4">
        <f t="array" aca="1" ref="G379" ca="1">MIN(IF(B379=INDEX(BD,,2),INDEX(BD,,9),0))</f>
        <v>0</v>
      </c>
    </row>
    <row r="380" spans="2:7" x14ac:dyDescent="0.3">
      <c r="B380" s="29">
        <v>44556</v>
      </c>
      <c r="C380" s="4">
        <f t="array" aca="1" ref="C380" ca="1">SUM(IF(B380=INDEX(BD,,2),INDEX(BD,,9),""))</f>
        <v>0</v>
      </c>
      <c r="D380" s="17">
        <f t="array" aca="1" ref="D380" ca="1">COUNT(IF(B380=INDEX(BD,,2),INDEX(BD,,9),""))</f>
        <v>0</v>
      </c>
      <c r="E380" s="4">
        <f t="array" aca="1" ref="E380" ca="1">IFERROR(AVERAGE(IF(B380=INDEX(BD,,2),INDEX(BD,,9),"")),0)</f>
        <v>0</v>
      </c>
      <c r="F380" s="4">
        <f t="array" aca="1" ref="F380" ca="1">MAX(IF(B380=INDEX(BD,,2),INDEX(BD,,9),""))</f>
        <v>0</v>
      </c>
      <c r="G380" s="4">
        <f t="array" aca="1" ref="G380" ca="1">MIN(IF(B380=INDEX(BD,,2),INDEX(BD,,9),0))</f>
        <v>0</v>
      </c>
    </row>
    <row r="381" spans="2:7" x14ac:dyDescent="0.3">
      <c r="B381" s="29">
        <v>44557</v>
      </c>
      <c r="C381" s="4">
        <f t="array" aca="1" ref="C381" ca="1">SUM(IF(B381=INDEX(BD,,2),INDEX(BD,,9),""))</f>
        <v>0</v>
      </c>
      <c r="D381" s="17">
        <f t="array" aca="1" ref="D381" ca="1">COUNT(IF(B381=INDEX(BD,,2),INDEX(BD,,9),""))</f>
        <v>0</v>
      </c>
      <c r="E381" s="4">
        <f t="array" aca="1" ref="E381" ca="1">IFERROR(AVERAGE(IF(B381=INDEX(BD,,2),INDEX(BD,,9),"")),0)</f>
        <v>0</v>
      </c>
      <c r="F381" s="4">
        <f t="array" aca="1" ref="F381" ca="1">MAX(IF(B381=INDEX(BD,,2),INDEX(BD,,9),""))</f>
        <v>0</v>
      </c>
      <c r="G381" s="4">
        <f t="array" aca="1" ref="G381" ca="1">MIN(IF(B381=INDEX(BD,,2),INDEX(BD,,9),0))</f>
        <v>0</v>
      </c>
    </row>
    <row r="382" spans="2:7" x14ac:dyDescent="0.3">
      <c r="B382" s="29">
        <v>44558</v>
      </c>
      <c r="C382" s="4">
        <f t="array" aca="1" ref="C382" ca="1">SUM(IF(B382=INDEX(BD,,2),INDEX(BD,,9),""))</f>
        <v>0</v>
      </c>
      <c r="D382" s="17">
        <f t="array" aca="1" ref="D382" ca="1">COUNT(IF(B382=INDEX(BD,,2),INDEX(BD,,9),""))</f>
        <v>0</v>
      </c>
      <c r="E382" s="4">
        <f t="array" aca="1" ref="E382" ca="1">IFERROR(AVERAGE(IF(B382=INDEX(BD,,2),INDEX(BD,,9),"")),0)</f>
        <v>0</v>
      </c>
      <c r="F382" s="4">
        <f t="array" aca="1" ref="F382" ca="1">MAX(IF(B382=INDEX(BD,,2),INDEX(BD,,9),""))</f>
        <v>0</v>
      </c>
      <c r="G382" s="4">
        <f t="array" aca="1" ref="G382" ca="1">MIN(IF(B382=INDEX(BD,,2),INDEX(BD,,9),0))</f>
        <v>0</v>
      </c>
    </row>
    <row r="383" spans="2:7" x14ac:dyDescent="0.3">
      <c r="B383" s="29">
        <v>44559</v>
      </c>
      <c r="C383" s="4">
        <f t="array" aca="1" ref="C383" ca="1">SUM(IF(B383=INDEX(BD,,2),INDEX(BD,,9),""))</f>
        <v>0</v>
      </c>
      <c r="D383" s="17">
        <f t="array" aca="1" ref="D383" ca="1">COUNT(IF(B383=INDEX(BD,,2),INDEX(BD,,9),""))</f>
        <v>0</v>
      </c>
      <c r="E383" s="4">
        <f t="array" aca="1" ref="E383" ca="1">IFERROR(AVERAGE(IF(B383=INDEX(BD,,2),INDEX(BD,,9),"")),0)</f>
        <v>0</v>
      </c>
      <c r="F383" s="4">
        <f t="array" aca="1" ref="F383" ca="1">MAX(IF(B383=INDEX(BD,,2),INDEX(BD,,9),""))</f>
        <v>0</v>
      </c>
      <c r="G383" s="4">
        <f t="array" aca="1" ref="G383" ca="1">MIN(IF(B383=INDEX(BD,,2),INDEX(BD,,9),0))</f>
        <v>0</v>
      </c>
    </row>
    <row r="384" spans="2:7" x14ac:dyDescent="0.3">
      <c r="B384" s="29">
        <v>44560</v>
      </c>
      <c r="C384" s="4">
        <f t="array" aca="1" ref="C384" ca="1">SUM(IF(B384=INDEX(BD,,2),INDEX(BD,,9),""))</f>
        <v>0</v>
      </c>
      <c r="D384" s="17">
        <f t="array" aca="1" ref="D384" ca="1">COUNT(IF(B384=INDEX(BD,,2),INDEX(BD,,9),""))</f>
        <v>0</v>
      </c>
      <c r="E384" s="4">
        <f t="array" aca="1" ref="E384" ca="1">IFERROR(AVERAGE(IF(B384=INDEX(BD,,2),INDEX(BD,,9),"")),0)</f>
        <v>0</v>
      </c>
      <c r="F384" s="4">
        <f t="array" aca="1" ref="F384" ca="1">MAX(IF(B384=INDEX(BD,,2),INDEX(BD,,9),""))</f>
        <v>0</v>
      </c>
      <c r="G384" s="4">
        <f t="array" aca="1" ref="G384" ca="1">MIN(IF(B384=INDEX(BD,,2),INDEX(BD,,9),0))</f>
        <v>0</v>
      </c>
    </row>
    <row r="385" spans="2:7" x14ac:dyDescent="0.3">
      <c r="B385" s="29">
        <v>44561</v>
      </c>
      <c r="C385" s="4">
        <f t="array" aca="1" ref="C385" ca="1">SUM(IF(B385=INDEX(BD,,2),INDEX(BD,,9),""))</f>
        <v>0</v>
      </c>
      <c r="D385" s="17">
        <f t="array" aca="1" ref="D385" ca="1">COUNT(IF(B385=INDEX(BD,,2),INDEX(BD,,9),""))</f>
        <v>0</v>
      </c>
      <c r="E385" s="4">
        <f t="array" aca="1" ref="E385" ca="1">IFERROR(AVERAGE(IF(B385=INDEX(BD,,2),INDEX(BD,,9),"")),0)</f>
        <v>0</v>
      </c>
      <c r="F385" s="4">
        <f t="array" aca="1" ref="F385" ca="1">MAX(IF(B385=INDEX(BD,,2),INDEX(BD,,9),""))</f>
        <v>0</v>
      </c>
      <c r="G385" s="4">
        <f t="array" aca="1" ref="G385" ca="1">MIN(IF(B385=INDEX(BD,,2),INDEX(BD,,9),0))</f>
        <v>0</v>
      </c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autoPict="0" linkedCell="L20" listFillRange="L22:L33" r:id="rId5">
            <anchor>
              <from>
                <xdr:col>0</xdr:col>
                <xdr:colOff>4716780</xdr:colOff>
                <xdr:row>0</xdr:row>
                <xdr:rowOff>45720</xdr:rowOff>
              </from>
              <to>
                <xdr:col>0</xdr:col>
                <xdr:colOff>6659880</xdr:colOff>
                <xdr:row>0</xdr:row>
                <xdr:rowOff>396240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6" r:id="rId6" name="ComboBox2">
          <controlPr defaultSize="0" autoLine="0" autoPict="0" linkedCell="N20" listFillRange="N22:N26" r:id="rId7">
            <anchor>
              <from>
                <xdr:col>0</xdr:col>
                <xdr:colOff>6697980</xdr:colOff>
                <xdr:row>0</xdr:row>
                <xdr:rowOff>38100</xdr:rowOff>
              </from>
              <to>
                <xdr:col>0</xdr:col>
                <xdr:colOff>8641080</xdr:colOff>
                <xdr:row>0</xdr:row>
                <xdr:rowOff>388620</xdr:rowOff>
              </to>
            </anchor>
          </controlPr>
        </control>
      </mc:Choice>
      <mc:Fallback>
        <control shapeId="6146" r:id="rId6" name="ComboBox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653D-930A-432E-8A8B-DCEACE2DD613}">
  <sheetPr codeName="PlanBDocupada"/>
  <dimension ref="A1:K1"/>
  <sheetViews>
    <sheetView workbookViewId="0">
      <selection activeCell="J23" sqref="J23"/>
    </sheetView>
  </sheetViews>
  <sheetFormatPr defaultRowHeight="14.4" x14ac:dyDescent="0.3"/>
  <cols>
    <col min="1" max="1" width="2.77734375" bestFit="1" customWidth="1"/>
    <col min="2" max="2" width="5.44140625" bestFit="1" customWidth="1"/>
    <col min="3" max="3" width="9.77734375" bestFit="1" customWidth="1"/>
    <col min="4" max="4" width="6.21875" bestFit="1" customWidth="1"/>
    <col min="5" max="5" width="9" bestFit="1" customWidth="1"/>
    <col min="6" max="6" width="5.88671875" bestFit="1" customWidth="1"/>
    <col min="7" max="7" width="9.33203125" bestFit="1" customWidth="1"/>
    <col min="8" max="8" width="11.77734375" bestFit="1" customWidth="1"/>
    <col min="9" max="9" width="6.5546875" bestFit="1" customWidth="1"/>
    <col min="10" max="10" width="5.5546875" bestFit="1" customWidth="1"/>
    <col min="11" max="11" width="9.44140625" bestFit="1" customWidth="1"/>
  </cols>
  <sheetData>
    <row r="1" spans="1:11" x14ac:dyDescent="0.3">
      <c r="A1" t="s">
        <v>0</v>
      </c>
      <c r="B1" t="s">
        <v>16</v>
      </c>
      <c r="C1" t="s">
        <v>5</v>
      </c>
      <c r="D1" t="s">
        <v>1</v>
      </c>
      <c r="E1" t="s">
        <v>2</v>
      </c>
      <c r="F1" t="s">
        <v>14</v>
      </c>
      <c r="G1" t="s">
        <v>15</v>
      </c>
      <c r="H1" t="s">
        <v>19</v>
      </c>
      <c r="I1" t="s">
        <v>6</v>
      </c>
      <c r="J1" t="s">
        <v>3</v>
      </c>
      <c r="K1" t="s">
        <v>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042B4-AC19-45EF-ADD2-827DA539C697}">
  <sheetPr codeName="PlanBDlivre"/>
  <dimension ref="A1:K270"/>
  <sheetViews>
    <sheetView workbookViewId="0">
      <selection activeCell="H2" sqref="H2"/>
    </sheetView>
  </sheetViews>
  <sheetFormatPr defaultRowHeight="14.4" x14ac:dyDescent="0.3"/>
  <cols>
    <col min="1" max="1" width="4" bestFit="1" customWidth="1"/>
    <col min="2" max="2" width="10.5546875" bestFit="1" customWidth="1"/>
    <col min="3" max="3" width="15.6640625" bestFit="1" customWidth="1"/>
    <col min="4" max="4" width="11.5546875" style="9" bestFit="1" customWidth="1"/>
    <col min="5" max="5" width="9" style="42" bestFit="1" customWidth="1"/>
    <col min="6" max="6" width="5.88671875" style="42" bestFit="1" customWidth="1"/>
    <col min="7" max="7" width="10.5546875" style="42" bestFit="1" customWidth="1"/>
    <col min="8" max="8" width="11.77734375" style="12" bestFit="1" customWidth="1"/>
    <col min="9" max="9" width="12" bestFit="1" customWidth="1"/>
    <col min="10" max="10" width="5.5546875" bestFit="1" customWidth="1"/>
    <col min="11" max="11" width="9.44140625" bestFit="1" customWidth="1"/>
  </cols>
  <sheetData>
    <row r="1" spans="1:11" x14ac:dyDescent="0.3">
      <c r="A1" t="s">
        <v>0</v>
      </c>
      <c r="B1" t="s">
        <v>16</v>
      </c>
      <c r="C1" t="s">
        <v>5</v>
      </c>
      <c r="D1" s="9" t="s">
        <v>1</v>
      </c>
      <c r="E1" s="42" t="s">
        <v>2</v>
      </c>
      <c r="F1" s="42" t="s">
        <v>14</v>
      </c>
      <c r="G1" s="42" t="s">
        <v>15</v>
      </c>
      <c r="H1" s="12" t="s">
        <v>19</v>
      </c>
      <c r="I1" t="s">
        <v>6</v>
      </c>
      <c r="J1" t="s">
        <v>3</v>
      </c>
      <c r="K1" t="s">
        <v>4</v>
      </c>
    </row>
    <row r="2" spans="1:11" x14ac:dyDescent="0.3">
      <c r="A2" t="s">
        <v>606</v>
      </c>
      <c r="B2" s="10">
        <v>44368</v>
      </c>
      <c r="C2" t="s">
        <v>9</v>
      </c>
      <c r="D2" s="9" t="s">
        <v>21</v>
      </c>
      <c r="E2" s="42" t="s">
        <v>22</v>
      </c>
      <c r="F2" s="42" t="s">
        <v>23</v>
      </c>
      <c r="G2" s="42">
        <v>0.21736111111111106</v>
      </c>
      <c r="H2" s="12" t="s">
        <v>20</v>
      </c>
      <c r="I2">
        <v>62.59999999999998</v>
      </c>
      <c r="J2" t="s">
        <v>24</v>
      </c>
      <c r="K2" t="s">
        <v>18</v>
      </c>
    </row>
    <row r="3" spans="1:11" x14ac:dyDescent="0.3">
      <c r="A3" t="s">
        <v>607</v>
      </c>
      <c r="B3" s="10">
        <v>44373</v>
      </c>
      <c r="C3" t="s">
        <v>9</v>
      </c>
      <c r="D3" s="9" t="s">
        <v>25</v>
      </c>
      <c r="E3" s="42" t="s">
        <v>26</v>
      </c>
      <c r="F3" s="42" t="s">
        <v>27</v>
      </c>
      <c r="G3" s="42">
        <v>0.25486111111111104</v>
      </c>
      <c r="H3" s="12" t="s">
        <v>20</v>
      </c>
      <c r="I3">
        <v>73.399999999999977</v>
      </c>
      <c r="J3" t="s">
        <v>24</v>
      </c>
      <c r="K3" t="s">
        <v>18</v>
      </c>
    </row>
    <row r="4" spans="1:11" x14ac:dyDescent="0.3">
      <c r="A4" t="s">
        <v>608</v>
      </c>
      <c r="B4" s="10">
        <v>44366</v>
      </c>
      <c r="C4" t="s">
        <v>8</v>
      </c>
      <c r="D4" s="9" t="s">
        <v>28</v>
      </c>
      <c r="E4" s="42" t="s">
        <v>29</v>
      </c>
      <c r="F4" s="42" t="s">
        <v>30</v>
      </c>
      <c r="G4" s="42">
        <v>8.5416666666666696E-2</v>
      </c>
      <c r="H4" s="12" t="s">
        <v>31</v>
      </c>
      <c r="I4">
        <v>30.750000000000011</v>
      </c>
      <c r="J4" t="s">
        <v>24</v>
      </c>
      <c r="K4" t="s">
        <v>18</v>
      </c>
    </row>
    <row r="5" spans="1:11" x14ac:dyDescent="0.3">
      <c r="A5" t="s">
        <v>609</v>
      </c>
      <c r="B5" s="10">
        <v>44399</v>
      </c>
      <c r="C5" t="s">
        <v>10</v>
      </c>
      <c r="D5" s="9" t="s">
        <v>32</v>
      </c>
      <c r="E5" s="42" t="s">
        <v>33</v>
      </c>
      <c r="F5" s="42" t="s">
        <v>34</v>
      </c>
      <c r="G5" s="42">
        <v>0.27430555555555552</v>
      </c>
      <c r="H5" s="12" t="s">
        <v>31</v>
      </c>
      <c r="I5">
        <v>59.249999999999986</v>
      </c>
      <c r="J5" t="s">
        <v>35</v>
      </c>
      <c r="K5" t="s">
        <v>18</v>
      </c>
    </row>
    <row r="6" spans="1:11" x14ac:dyDescent="0.3">
      <c r="A6" t="s">
        <v>610</v>
      </c>
      <c r="B6" s="10">
        <v>44448</v>
      </c>
      <c r="C6" t="s">
        <v>8</v>
      </c>
      <c r="D6" s="9" t="s">
        <v>36</v>
      </c>
      <c r="E6" s="42" t="s">
        <v>37</v>
      </c>
      <c r="F6" s="42" t="s">
        <v>38</v>
      </c>
      <c r="G6" s="42">
        <v>8.333333333333337E-2</v>
      </c>
      <c r="H6" s="12" t="s">
        <v>31</v>
      </c>
      <c r="I6">
        <v>30.000000000000014</v>
      </c>
      <c r="J6" t="s">
        <v>17</v>
      </c>
      <c r="K6" t="s">
        <v>18</v>
      </c>
    </row>
    <row r="7" spans="1:11" x14ac:dyDescent="0.3">
      <c r="A7" t="s">
        <v>611</v>
      </c>
      <c r="B7" s="10">
        <v>44385</v>
      </c>
      <c r="C7" t="s">
        <v>9</v>
      </c>
      <c r="D7" s="9" t="s">
        <v>39</v>
      </c>
      <c r="E7" s="42" t="s">
        <v>40</v>
      </c>
      <c r="F7" s="42" t="s">
        <v>41</v>
      </c>
      <c r="G7" s="42">
        <v>4.0972222222222243E-2</v>
      </c>
      <c r="H7" s="12" t="s">
        <v>31</v>
      </c>
      <c r="I7">
        <v>11.800000000000006</v>
      </c>
      <c r="J7" t="s">
        <v>42</v>
      </c>
      <c r="K7" t="s">
        <v>18</v>
      </c>
    </row>
    <row r="8" spans="1:11" x14ac:dyDescent="0.3">
      <c r="A8" t="s">
        <v>612</v>
      </c>
      <c r="B8" s="10">
        <v>44420</v>
      </c>
      <c r="C8" t="s">
        <v>7</v>
      </c>
      <c r="D8" s="9" t="s">
        <v>43</v>
      </c>
      <c r="E8" s="42" t="s">
        <v>44</v>
      </c>
      <c r="F8" s="42" t="s">
        <v>45</v>
      </c>
      <c r="G8" s="42">
        <v>0.23680555555555555</v>
      </c>
      <c r="H8" s="12" t="s">
        <v>31</v>
      </c>
      <c r="I8">
        <v>113.66666666666667</v>
      </c>
      <c r="J8" t="s">
        <v>46</v>
      </c>
      <c r="K8" t="s">
        <v>18</v>
      </c>
    </row>
    <row r="9" spans="1:11" x14ac:dyDescent="0.3">
      <c r="A9" t="s">
        <v>613</v>
      </c>
      <c r="B9" s="10">
        <v>44350</v>
      </c>
      <c r="C9" t="s">
        <v>9</v>
      </c>
      <c r="D9" s="9" t="s">
        <v>47</v>
      </c>
      <c r="E9" s="42" t="s">
        <v>48</v>
      </c>
      <c r="F9" s="42" t="s">
        <v>34</v>
      </c>
      <c r="G9" s="42">
        <v>0.12499999999999994</v>
      </c>
      <c r="H9" s="12" t="s">
        <v>20</v>
      </c>
      <c r="I9">
        <v>35.999999999999986</v>
      </c>
      <c r="J9" t="s">
        <v>49</v>
      </c>
      <c r="K9" t="s">
        <v>18</v>
      </c>
    </row>
    <row r="10" spans="1:11" x14ac:dyDescent="0.3">
      <c r="A10" t="s">
        <v>614</v>
      </c>
      <c r="B10" s="10">
        <v>44385</v>
      </c>
      <c r="C10" t="s">
        <v>9</v>
      </c>
      <c r="D10" s="9" t="s">
        <v>50</v>
      </c>
      <c r="E10" s="42" t="s">
        <v>51</v>
      </c>
      <c r="F10" s="42" t="s">
        <v>52</v>
      </c>
      <c r="G10" s="42">
        <v>0.3215277777777778</v>
      </c>
      <c r="H10" s="12" t="s">
        <v>31</v>
      </c>
      <c r="I10">
        <v>92.6</v>
      </c>
      <c r="J10" t="s">
        <v>53</v>
      </c>
      <c r="K10" t="s">
        <v>18</v>
      </c>
    </row>
    <row r="11" spans="1:11" x14ac:dyDescent="0.3">
      <c r="A11" t="s">
        <v>615</v>
      </c>
      <c r="B11" s="10">
        <v>44457</v>
      </c>
      <c r="C11" t="s">
        <v>8</v>
      </c>
      <c r="D11" s="9" t="s">
        <v>54</v>
      </c>
      <c r="E11" s="42" t="s">
        <v>55</v>
      </c>
      <c r="F11" s="42" t="s">
        <v>56</v>
      </c>
      <c r="G11" s="42">
        <v>0.21805555555555556</v>
      </c>
      <c r="H11" s="12" t="s">
        <v>31</v>
      </c>
      <c r="I11">
        <v>78.5</v>
      </c>
      <c r="J11" t="s">
        <v>57</v>
      </c>
      <c r="K11" t="s">
        <v>18</v>
      </c>
    </row>
    <row r="12" spans="1:11" x14ac:dyDescent="0.3">
      <c r="A12" t="s">
        <v>616</v>
      </c>
      <c r="B12" s="10">
        <v>44386</v>
      </c>
      <c r="C12" t="s">
        <v>7</v>
      </c>
      <c r="D12" s="9" t="s">
        <v>58</v>
      </c>
      <c r="E12" s="42" t="s">
        <v>59</v>
      </c>
      <c r="F12" s="42" t="s">
        <v>60</v>
      </c>
      <c r="G12" s="42">
        <v>5.7638888888888962E-2</v>
      </c>
      <c r="H12" s="12" t="s">
        <v>31</v>
      </c>
      <c r="I12">
        <v>27.6666666666667</v>
      </c>
      <c r="J12" t="s">
        <v>53</v>
      </c>
      <c r="K12" t="s">
        <v>18</v>
      </c>
    </row>
    <row r="13" spans="1:11" x14ac:dyDescent="0.3">
      <c r="A13" t="s">
        <v>617</v>
      </c>
      <c r="B13" s="10">
        <v>44374</v>
      </c>
      <c r="C13" t="s">
        <v>8</v>
      </c>
      <c r="D13" s="9" t="s">
        <v>61</v>
      </c>
      <c r="E13" s="42" t="s">
        <v>62</v>
      </c>
      <c r="F13" s="42" t="s">
        <v>63</v>
      </c>
      <c r="G13" s="42">
        <v>0.19097222222222221</v>
      </c>
      <c r="H13" s="12" t="s">
        <v>31</v>
      </c>
      <c r="I13">
        <v>68.75</v>
      </c>
      <c r="J13" t="s">
        <v>64</v>
      </c>
      <c r="K13" t="s">
        <v>18</v>
      </c>
    </row>
    <row r="14" spans="1:11" x14ac:dyDescent="0.3">
      <c r="A14" t="s">
        <v>618</v>
      </c>
      <c r="B14" s="10">
        <v>44367</v>
      </c>
      <c r="C14" t="s">
        <v>7</v>
      </c>
      <c r="D14" s="9" t="s">
        <v>65</v>
      </c>
      <c r="E14" s="42" t="s">
        <v>66</v>
      </c>
      <c r="F14" s="42" t="s">
        <v>67</v>
      </c>
      <c r="G14" s="42">
        <v>0.10555555555555551</v>
      </c>
      <c r="H14" s="12" t="s">
        <v>31</v>
      </c>
      <c r="I14">
        <v>50.666666666666643</v>
      </c>
      <c r="J14" t="s">
        <v>35</v>
      </c>
      <c r="K14" t="s">
        <v>18</v>
      </c>
    </row>
    <row r="15" spans="1:11" x14ac:dyDescent="0.3">
      <c r="A15" t="s">
        <v>619</v>
      </c>
      <c r="B15" s="10">
        <v>44351</v>
      </c>
      <c r="C15" t="s">
        <v>7</v>
      </c>
      <c r="D15" s="9" t="s">
        <v>68</v>
      </c>
      <c r="E15" s="42" t="s">
        <v>69</v>
      </c>
      <c r="F15" s="42" t="s">
        <v>70</v>
      </c>
      <c r="G15" s="42">
        <v>0.26666666666666672</v>
      </c>
      <c r="H15" s="12" t="s">
        <v>31</v>
      </c>
      <c r="I15">
        <v>128.00000000000003</v>
      </c>
      <c r="J15" t="s">
        <v>53</v>
      </c>
      <c r="K15" t="s">
        <v>18</v>
      </c>
    </row>
    <row r="16" spans="1:11" x14ac:dyDescent="0.3">
      <c r="A16" t="s">
        <v>620</v>
      </c>
      <c r="B16" s="10">
        <v>44430</v>
      </c>
      <c r="C16" t="s">
        <v>10</v>
      </c>
      <c r="D16" s="9" t="s">
        <v>71</v>
      </c>
      <c r="E16" s="42" t="s">
        <v>72</v>
      </c>
      <c r="F16" s="42" t="s">
        <v>73</v>
      </c>
      <c r="G16" s="42">
        <v>0.23472222222222217</v>
      </c>
      <c r="H16" s="12" t="s">
        <v>20</v>
      </c>
      <c r="I16">
        <v>50.699999999999989</v>
      </c>
      <c r="J16" t="s">
        <v>24</v>
      </c>
      <c r="K16" t="s">
        <v>18</v>
      </c>
    </row>
    <row r="17" spans="1:11" x14ac:dyDescent="0.3">
      <c r="A17" t="s">
        <v>621</v>
      </c>
      <c r="B17" s="10">
        <v>44409</v>
      </c>
      <c r="C17" t="s">
        <v>8</v>
      </c>
      <c r="D17" s="9" t="s">
        <v>74</v>
      </c>
      <c r="E17" s="42" t="s">
        <v>75</v>
      </c>
      <c r="F17" s="42" t="s">
        <v>76</v>
      </c>
      <c r="G17" s="42">
        <v>0.14097222222222222</v>
      </c>
      <c r="H17" s="12" t="s">
        <v>20</v>
      </c>
      <c r="I17">
        <v>50.75</v>
      </c>
      <c r="J17" t="s">
        <v>77</v>
      </c>
      <c r="K17" t="s">
        <v>18</v>
      </c>
    </row>
    <row r="18" spans="1:11" x14ac:dyDescent="0.3">
      <c r="A18" t="s">
        <v>622</v>
      </c>
      <c r="B18" s="10">
        <v>44457</v>
      </c>
      <c r="C18" t="s">
        <v>9</v>
      </c>
      <c r="D18" s="9" t="s">
        <v>78</v>
      </c>
      <c r="E18" s="42" t="s">
        <v>79</v>
      </c>
      <c r="F18" s="42" t="s">
        <v>80</v>
      </c>
      <c r="G18" s="42">
        <v>0.21666666666666667</v>
      </c>
      <c r="H18" s="12" t="s">
        <v>20</v>
      </c>
      <c r="I18">
        <v>62.400000000000006</v>
      </c>
      <c r="J18" t="s">
        <v>49</v>
      </c>
      <c r="K18" t="s">
        <v>18</v>
      </c>
    </row>
    <row r="19" spans="1:11" x14ac:dyDescent="0.3">
      <c r="A19" t="s">
        <v>623</v>
      </c>
      <c r="B19" s="10">
        <v>44423</v>
      </c>
      <c r="C19" t="s">
        <v>9</v>
      </c>
      <c r="D19" s="9" t="s">
        <v>81</v>
      </c>
      <c r="E19" s="42" t="s">
        <v>82</v>
      </c>
      <c r="F19" s="42" t="s">
        <v>83</v>
      </c>
      <c r="G19" s="42">
        <v>0.29236111111111107</v>
      </c>
      <c r="H19" s="12" t="s">
        <v>31</v>
      </c>
      <c r="I19">
        <v>84.199999999999989</v>
      </c>
      <c r="J19" t="s">
        <v>35</v>
      </c>
      <c r="K19" t="s">
        <v>18</v>
      </c>
    </row>
    <row r="20" spans="1:11" x14ac:dyDescent="0.3">
      <c r="A20" t="s">
        <v>624</v>
      </c>
      <c r="B20" s="10">
        <v>44448</v>
      </c>
      <c r="C20" t="s">
        <v>8</v>
      </c>
      <c r="D20" s="9" t="s">
        <v>84</v>
      </c>
      <c r="E20" s="42" t="s">
        <v>85</v>
      </c>
      <c r="F20" s="42" t="s">
        <v>86</v>
      </c>
      <c r="G20" s="42">
        <v>0.18333333333333335</v>
      </c>
      <c r="H20" s="12" t="s">
        <v>31</v>
      </c>
      <c r="I20">
        <v>66</v>
      </c>
      <c r="J20" t="s">
        <v>77</v>
      </c>
      <c r="K20" t="s">
        <v>18</v>
      </c>
    </row>
    <row r="21" spans="1:11" x14ac:dyDescent="0.3">
      <c r="A21" t="s">
        <v>625</v>
      </c>
      <c r="B21" s="10">
        <v>44364</v>
      </c>
      <c r="C21" t="s">
        <v>10</v>
      </c>
      <c r="D21" s="9" t="s">
        <v>87</v>
      </c>
      <c r="E21" s="42" t="s">
        <v>88</v>
      </c>
      <c r="F21" s="42" t="s">
        <v>89</v>
      </c>
      <c r="G21" s="42">
        <v>0.1111111111111111</v>
      </c>
      <c r="H21" s="12" t="s">
        <v>20</v>
      </c>
      <c r="I21">
        <v>24</v>
      </c>
      <c r="J21" t="s">
        <v>90</v>
      </c>
      <c r="K21" t="s">
        <v>18</v>
      </c>
    </row>
    <row r="22" spans="1:11" x14ac:dyDescent="0.3">
      <c r="A22" t="s">
        <v>626</v>
      </c>
      <c r="B22" s="10">
        <v>44402</v>
      </c>
      <c r="C22" t="s">
        <v>7</v>
      </c>
      <c r="D22" s="9" t="s">
        <v>91</v>
      </c>
      <c r="E22" s="42" t="s">
        <v>92</v>
      </c>
      <c r="F22" s="42" t="s">
        <v>67</v>
      </c>
      <c r="G22" s="42">
        <v>9.9999999999999978E-2</v>
      </c>
      <c r="H22" s="12" t="s">
        <v>31</v>
      </c>
      <c r="I22">
        <v>47.999999999999986</v>
      </c>
      <c r="J22" t="s">
        <v>42</v>
      </c>
      <c r="K22" t="s">
        <v>18</v>
      </c>
    </row>
    <row r="23" spans="1:11" x14ac:dyDescent="0.3">
      <c r="A23" t="s">
        <v>627</v>
      </c>
      <c r="B23" s="10">
        <v>44385</v>
      </c>
      <c r="C23" t="s">
        <v>8</v>
      </c>
      <c r="D23" s="9" t="s">
        <v>93</v>
      </c>
      <c r="E23" s="42" t="s">
        <v>94</v>
      </c>
      <c r="F23" s="42" t="s">
        <v>95</v>
      </c>
      <c r="G23" s="42">
        <v>0.32569444444444445</v>
      </c>
      <c r="H23" s="12" t="s">
        <v>31</v>
      </c>
      <c r="I23">
        <v>117.25</v>
      </c>
      <c r="J23" t="s">
        <v>96</v>
      </c>
      <c r="K23" t="s">
        <v>18</v>
      </c>
    </row>
    <row r="24" spans="1:11" x14ac:dyDescent="0.3">
      <c r="A24" t="s">
        <v>628</v>
      </c>
      <c r="B24" s="10">
        <v>44405</v>
      </c>
      <c r="C24" t="s">
        <v>8</v>
      </c>
      <c r="D24" s="9" t="s">
        <v>97</v>
      </c>
      <c r="E24" s="42" t="s">
        <v>98</v>
      </c>
      <c r="F24" s="42" t="s">
        <v>99</v>
      </c>
      <c r="G24" s="42">
        <v>0.25624999999999998</v>
      </c>
      <c r="H24" s="12" t="s">
        <v>20</v>
      </c>
      <c r="I24">
        <v>92.249999999999986</v>
      </c>
      <c r="J24" t="s">
        <v>64</v>
      </c>
      <c r="K24" t="s">
        <v>18</v>
      </c>
    </row>
    <row r="25" spans="1:11" x14ac:dyDescent="0.3">
      <c r="A25" t="s">
        <v>629</v>
      </c>
      <c r="B25" s="10">
        <v>44440</v>
      </c>
      <c r="C25" t="s">
        <v>10</v>
      </c>
      <c r="D25" s="9" t="s">
        <v>100</v>
      </c>
      <c r="E25" s="42" t="s">
        <v>101</v>
      </c>
      <c r="F25" s="42" t="s">
        <v>102</v>
      </c>
      <c r="G25" s="42">
        <v>0.23680555555555549</v>
      </c>
      <c r="H25" s="12" t="s">
        <v>20</v>
      </c>
      <c r="I25">
        <v>51.149999999999984</v>
      </c>
      <c r="J25" t="s">
        <v>24</v>
      </c>
      <c r="K25" t="s">
        <v>18</v>
      </c>
    </row>
    <row r="26" spans="1:11" x14ac:dyDescent="0.3">
      <c r="A26" t="s">
        <v>630</v>
      </c>
      <c r="B26" s="10">
        <v>44377</v>
      </c>
      <c r="C26" t="s">
        <v>7</v>
      </c>
      <c r="D26" s="9" t="s">
        <v>103</v>
      </c>
      <c r="E26" s="42" t="s">
        <v>104</v>
      </c>
      <c r="F26" s="42" t="s">
        <v>105</v>
      </c>
      <c r="G26" s="42">
        <v>0.17638888888888882</v>
      </c>
      <c r="H26" s="12" t="s">
        <v>20</v>
      </c>
      <c r="I26">
        <v>84.666666666666629</v>
      </c>
      <c r="J26" t="s">
        <v>106</v>
      </c>
      <c r="K26" t="s">
        <v>18</v>
      </c>
    </row>
    <row r="27" spans="1:11" x14ac:dyDescent="0.3">
      <c r="A27" t="s">
        <v>631</v>
      </c>
      <c r="B27" s="10">
        <v>44439</v>
      </c>
      <c r="C27" t="s">
        <v>7</v>
      </c>
      <c r="D27" s="9" t="s">
        <v>107</v>
      </c>
      <c r="E27" s="42" t="s">
        <v>108</v>
      </c>
      <c r="F27" s="42" t="s">
        <v>109</v>
      </c>
      <c r="G27" s="42">
        <v>0.12083333333333335</v>
      </c>
      <c r="H27" s="12" t="s">
        <v>31</v>
      </c>
      <c r="I27">
        <v>58.000000000000007</v>
      </c>
      <c r="J27" t="s">
        <v>17</v>
      </c>
      <c r="K27" t="s">
        <v>18</v>
      </c>
    </row>
    <row r="28" spans="1:11" x14ac:dyDescent="0.3">
      <c r="A28" t="s">
        <v>632</v>
      </c>
      <c r="B28" s="10">
        <v>44404</v>
      </c>
      <c r="C28" t="s">
        <v>9</v>
      </c>
      <c r="D28" s="9" t="s">
        <v>110</v>
      </c>
      <c r="E28" s="42" t="s">
        <v>111</v>
      </c>
      <c r="F28" s="42" t="s">
        <v>112</v>
      </c>
      <c r="G28" s="42">
        <v>8.4027777777777757E-2</v>
      </c>
      <c r="H28" s="12" t="s">
        <v>20</v>
      </c>
      <c r="I28">
        <v>24.199999999999996</v>
      </c>
      <c r="J28" t="s">
        <v>64</v>
      </c>
      <c r="K28" t="s">
        <v>18</v>
      </c>
    </row>
    <row r="29" spans="1:11" x14ac:dyDescent="0.3">
      <c r="A29" t="s">
        <v>633</v>
      </c>
      <c r="B29" s="10">
        <v>44453</v>
      </c>
      <c r="C29" t="s">
        <v>10</v>
      </c>
      <c r="D29" s="9" t="s">
        <v>113</v>
      </c>
      <c r="E29" s="42" t="s">
        <v>114</v>
      </c>
      <c r="F29" s="42" t="s">
        <v>115</v>
      </c>
      <c r="G29" s="42">
        <v>0.18611111111111112</v>
      </c>
      <c r="H29" s="12" t="s">
        <v>31</v>
      </c>
      <c r="I29">
        <v>40.200000000000003</v>
      </c>
      <c r="J29" t="s">
        <v>77</v>
      </c>
      <c r="K29" t="s">
        <v>18</v>
      </c>
    </row>
    <row r="30" spans="1:11" x14ac:dyDescent="0.3">
      <c r="A30" t="s">
        <v>634</v>
      </c>
      <c r="B30" s="10">
        <v>44433</v>
      </c>
      <c r="C30" t="s">
        <v>10</v>
      </c>
      <c r="D30" s="9" t="s">
        <v>116</v>
      </c>
      <c r="E30" s="42" t="s">
        <v>108</v>
      </c>
      <c r="F30" s="42" t="s">
        <v>38</v>
      </c>
      <c r="G30" s="42">
        <v>0.13888888888888895</v>
      </c>
      <c r="H30" s="12" t="s">
        <v>20</v>
      </c>
      <c r="I30">
        <v>30.000000000000014</v>
      </c>
      <c r="J30" t="s">
        <v>117</v>
      </c>
      <c r="K30" t="s">
        <v>18</v>
      </c>
    </row>
    <row r="31" spans="1:11" x14ac:dyDescent="0.3">
      <c r="A31" t="s">
        <v>635</v>
      </c>
      <c r="B31" s="10">
        <v>44382</v>
      </c>
      <c r="C31" t="s">
        <v>7</v>
      </c>
      <c r="D31" s="9" t="s">
        <v>118</v>
      </c>
      <c r="E31" s="42" t="s">
        <v>119</v>
      </c>
      <c r="F31" s="42" t="s">
        <v>120</v>
      </c>
      <c r="G31" s="42">
        <v>0.33402777777777776</v>
      </c>
      <c r="H31" s="12" t="s">
        <v>20</v>
      </c>
      <c r="I31">
        <v>160.33333333333331</v>
      </c>
      <c r="J31" t="s">
        <v>24</v>
      </c>
      <c r="K31" t="s">
        <v>18</v>
      </c>
    </row>
    <row r="32" spans="1:11" x14ac:dyDescent="0.3">
      <c r="A32" t="s">
        <v>636</v>
      </c>
      <c r="B32" s="10">
        <v>44367</v>
      </c>
      <c r="C32" t="s">
        <v>7</v>
      </c>
      <c r="D32" s="9" t="s">
        <v>121</v>
      </c>
      <c r="E32" s="42" t="s">
        <v>122</v>
      </c>
      <c r="F32" s="42" t="s">
        <v>123</v>
      </c>
      <c r="G32" s="42">
        <v>0.20902777777777776</v>
      </c>
      <c r="H32" s="12" t="s">
        <v>31</v>
      </c>
      <c r="I32">
        <v>100.33333333333331</v>
      </c>
      <c r="J32" t="s">
        <v>57</v>
      </c>
      <c r="K32" t="s">
        <v>18</v>
      </c>
    </row>
    <row r="33" spans="1:11" x14ac:dyDescent="0.3">
      <c r="A33" t="s">
        <v>637</v>
      </c>
      <c r="B33" s="10">
        <v>44431</v>
      </c>
      <c r="C33" t="s">
        <v>8</v>
      </c>
      <c r="D33" s="9" t="s">
        <v>124</v>
      </c>
      <c r="E33" s="42" t="s">
        <v>125</v>
      </c>
      <c r="F33" s="42" t="s">
        <v>126</v>
      </c>
      <c r="G33" s="42">
        <v>0.25138888888888894</v>
      </c>
      <c r="H33" s="12" t="s">
        <v>20</v>
      </c>
      <c r="I33">
        <v>90.500000000000028</v>
      </c>
      <c r="J33" t="s">
        <v>77</v>
      </c>
      <c r="K33" t="s">
        <v>18</v>
      </c>
    </row>
    <row r="34" spans="1:11" x14ac:dyDescent="0.3">
      <c r="A34" t="s">
        <v>638</v>
      </c>
      <c r="B34" s="10">
        <v>44400</v>
      </c>
      <c r="C34" t="s">
        <v>9</v>
      </c>
      <c r="D34" s="9" t="s">
        <v>127</v>
      </c>
      <c r="E34" s="42" t="s">
        <v>88</v>
      </c>
      <c r="F34" s="42" t="s">
        <v>128</v>
      </c>
      <c r="G34" s="42">
        <v>9.7916666666666596E-2</v>
      </c>
      <c r="H34" s="12" t="s">
        <v>20</v>
      </c>
      <c r="I34">
        <v>28.199999999999982</v>
      </c>
      <c r="J34" t="s">
        <v>35</v>
      </c>
      <c r="K34" t="s">
        <v>18</v>
      </c>
    </row>
    <row r="35" spans="1:11" x14ac:dyDescent="0.3">
      <c r="A35" t="s">
        <v>639</v>
      </c>
      <c r="B35" s="10">
        <v>44413</v>
      </c>
      <c r="C35" t="s">
        <v>7</v>
      </c>
      <c r="D35" s="9" t="s">
        <v>129</v>
      </c>
      <c r="E35" s="42" t="s">
        <v>125</v>
      </c>
      <c r="F35" s="42" t="s">
        <v>130</v>
      </c>
      <c r="G35" s="42">
        <v>0.31944444444444448</v>
      </c>
      <c r="H35" s="12" t="s">
        <v>20</v>
      </c>
      <c r="I35">
        <v>153.33333333333337</v>
      </c>
      <c r="J35" t="s">
        <v>57</v>
      </c>
      <c r="K35" t="s">
        <v>18</v>
      </c>
    </row>
    <row r="36" spans="1:11" x14ac:dyDescent="0.3">
      <c r="A36" t="s">
        <v>640</v>
      </c>
      <c r="B36" s="10">
        <v>44430</v>
      </c>
      <c r="C36" t="s">
        <v>8</v>
      </c>
      <c r="D36" s="9" t="s">
        <v>131</v>
      </c>
      <c r="E36" s="42" t="s">
        <v>132</v>
      </c>
      <c r="F36" s="42" t="s">
        <v>133</v>
      </c>
      <c r="G36" s="42">
        <v>0.14305555555555555</v>
      </c>
      <c r="H36" s="12" t="s">
        <v>31</v>
      </c>
      <c r="I36">
        <v>51.5</v>
      </c>
      <c r="J36" t="s">
        <v>134</v>
      </c>
      <c r="K36" t="s">
        <v>18</v>
      </c>
    </row>
    <row r="37" spans="1:11" x14ac:dyDescent="0.3">
      <c r="A37" t="s">
        <v>641</v>
      </c>
      <c r="B37" s="10">
        <v>44434</v>
      </c>
      <c r="C37" t="s">
        <v>7</v>
      </c>
      <c r="D37" s="9" t="s">
        <v>135</v>
      </c>
      <c r="E37" s="42" t="s">
        <v>136</v>
      </c>
      <c r="F37" s="42" t="s">
        <v>137</v>
      </c>
      <c r="G37" s="42">
        <v>8.0555555555555491E-2</v>
      </c>
      <c r="H37" s="12" t="s">
        <v>20</v>
      </c>
      <c r="I37">
        <v>38.666666666666636</v>
      </c>
      <c r="J37" t="s">
        <v>35</v>
      </c>
      <c r="K37" t="s">
        <v>18</v>
      </c>
    </row>
    <row r="38" spans="1:11" x14ac:dyDescent="0.3">
      <c r="A38" t="s">
        <v>642</v>
      </c>
      <c r="B38" s="10">
        <v>44458</v>
      </c>
      <c r="C38" t="s">
        <v>9</v>
      </c>
      <c r="D38" s="9" t="s">
        <v>138</v>
      </c>
      <c r="E38" s="42" t="s">
        <v>139</v>
      </c>
      <c r="F38" s="42" t="s">
        <v>140</v>
      </c>
      <c r="G38" s="42">
        <v>0.16666666666666669</v>
      </c>
      <c r="H38" s="12" t="s">
        <v>20</v>
      </c>
      <c r="I38">
        <v>48</v>
      </c>
      <c r="J38" t="s">
        <v>17</v>
      </c>
      <c r="K38" t="s">
        <v>18</v>
      </c>
    </row>
    <row r="39" spans="1:11" x14ac:dyDescent="0.3">
      <c r="A39" t="s">
        <v>643</v>
      </c>
      <c r="B39" s="10">
        <v>44457</v>
      </c>
      <c r="C39" t="s">
        <v>7</v>
      </c>
      <c r="D39" s="9" t="s">
        <v>141</v>
      </c>
      <c r="E39" s="42" t="s">
        <v>142</v>
      </c>
      <c r="F39" s="42" t="s">
        <v>60</v>
      </c>
      <c r="G39" s="42">
        <v>6.8750000000000033E-2</v>
      </c>
      <c r="H39" s="12" t="s">
        <v>31</v>
      </c>
      <c r="I39">
        <v>33.000000000000014</v>
      </c>
      <c r="J39" t="s">
        <v>106</v>
      </c>
      <c r="K39" t="s">
        <v>18</v>
      </c>
    </row>
    <row r="40" spans="1:11" x14ac:dyDescent="0.3">
      <c r="A40" t="s">
        <v>644</v>
      </c>
      <c r="B40" s="10">
        <v>44387</v>
      </c>
      <c r="C40" t="s">
        <v>10</v>
      </c>
      <c r="D40" s="9" t="s">
        <v>143</v>
      </c>
      <c r="E40" s="42" t="s">
        <v>144</v>
      </c>
      <c r="F40" s="42" t="s">
        <v>145</v>
      </c>
      <c r="G40" s="42">
        <v>8.4722222222222254E-2</v>
      </c>
      <c r="H40" s="12" t="s">
        <v>31</v>
      </c>
      <c r="I40">
        <v>18.300000000000008</v>
      </c>
      <c r="J40" t="s">
        <v>57</v>
      </c>
      <c r="K40" t="s">
        <v>18</v>
      </c>
    </row>
    <row r="41" spans="1:11" x14ac:dyDescent="0.3">
      <c r="A41" t="s">
        <v>645</v>
      </c>
      <c r="B41" s="10">
        <v>44378</v>
      </c>
      <c r="C41" t="s">
        <v>7</v>
      </c>
      <c r="D41" s="9" t="s">
        <v>146</v>
      </c>
      <c r="E41" s="42" t="s">
        <v>147</v>
      </c>
      <c r="F41" s="42" t="s">
        <v>148</v>
      </c>
      <c r="G41" s="42">
        <v>0.26527777777777783</v>
      </c>
      <c r="H41" s="12" t="s">
        <v>20</v>
      </c>
      <c r="I41">
        <v>127.33333333333336</v>
      </c>
      <c r="J41" t="s">
        <v>53</v>
      </c>
      <c r="K41" t="s">
        <v>18</v>
      </c>
    </row>
    <row r="42" spans="1:11" x14ac:dyDescent="0.3">
      <c r="A42" t="s">
        <v>646</v>
      </c>
      <c r="B42" s="10">
        <v>44397</v>
      </c>
      <c r="C42" t="s">
        <v>7</v>
      </c>
      <c r="D42" s="9" t="s">
        <v>149</v>
      </c>
      <c r="E42" s="42" t="s">
        <v>150</v>
      </c>
      <c r="F42" s="42" t="s">
        <v>151</v>
      </c>
      <c r="G42" s="42">
        <v>0.12152777777777779</v>
      </c>
      <c r="H42" s="12" t="s">
        <v>20</v>
      </c>
      <c r="I42">
        <v>58.333333333333343</v>
      </c>
      <c r="J42" t="s">
        <v>46</v>
      </c>
      <c r="K42" t="s">
        <v>18</v>
      </c>
    </row>
    <row r="43" spans="1:11" x14ac:dyDescent="0.3">
      <c r="A43" t="s">
        <v>647</v>
      </c>
      <c r="B43" s="10">
        <v>44432</v>
      </c>
      <c r="C43" t="s">
        <v>10</v>
      </c>
      <c r="D43" s="9" t="s">
        <v>152</v>
      </c>
      <c r="E43" s="42" t="s">
        <v>153</v>
      </c>
      <c r="F43" s="42" t="s">
        <v>154</v>
      </c>
      <c r="G43" s="42">
        <v>0.3041666666666667</v>
      </c>
      <c r="H43" s="12" t="s">
        <v>31</v>
      </c>
      <c r="I43">
        <v>65.7</v>
      </c>
      <c r="J43" t="s">
        <v>96</v>
      </c>
      <c r="K43" t="s">
        <v>18</v>
      </c>
    </row>
    <row r="44" spans="1:11" x14ac:dyDescent="0.3">
      <c r="A44" t="s">
        <v>648</v>
      </c>
      <c r="B44" s="10">
        <v>44427</v>
      </c>
      <c r="C44" t="s">
        <v>7</v>
      </c>
      <c r="D44" s="9" t="s">
        <v>155</v>
      </c>
      <c r="E44" s="42" t="s">
        <v>156</v>
      </c>
      <c r="F44" s="42" t="s">
        <v>157</v>
      </c>
      <c r="G44" s="42">
        <v>0.29166666666666669</v>
      </c>
      <c r="H44" s="12" t="s">
        <v>20</v>
      </c>
      <c r="I44">
        <v>140</v>
      </c>
      <c r="J44" t="s">
        <v>49</v>
      </c>
      <c r="K44" t="s">
        <v>18</v>
      </c>
    </row>
    <row r="45" spans="1:11" x14ac:dyDescent="0.3">
      <c r="A45" t="s">
        <v>649</v>
      </c>
      <c r="B45" s="10">
        <v>44425</v>
      </c>
      <c r="C45" t="s">
        <v>10</v>
      </c>
      <c r="D45" s="9" t="s">
        <v>158</v>
      </c>
      <c r="E45" s="42" t="s">
        <v>159</v>
      </c>
      <c r="F45" s="42" t="s">
        <v>160</v>
      </c>
      <c r="G45" s="42">
        <v>0.21180555555555552</v>
      </c>
      <c r="H45" s="12" t="s">
        <v>20</v>
      </c>
      <c r="I45">
        <v>45.749999999999986</v>
      </c>
      <c r="J45" t="s">
        <v>64</v>
      </c>
      <c r="K45" t="s">
        <v>18</v>
      </c>
    </row>
    <row r="46" spans="1:11" x14ac:dyDescent="0.3">
      <c r="A46" t="s">
        <v>650</v>
      </c>
      <c r="B46" s="10">
        <v>44349</v>
      </c>
      <c r="C46" t="s">
        <v>7</v>
      </c>
      <c r="D46" s="9" t="s">
        <v>161</v>
      </c>
      <c r="E46" s="42" t="s">
        <v>162</v>
      </c>
      <c r="F46" s="42" t="s">
        <v>163</v>
      </c>
      <c r="G46" s="42">
        <v>0.17916666666666664</v>
      </c>
      <c r="H46" s="12" t="s">
        <v>20</v>
      </c>
      <c r="I46">
        <v>85.999999999999972</v>
      </c>
      <c r="J46" t="s">
        <v>77</v>
      </c>
      <c r="K46" t="s">
        <v>18</v>
      </c>
    </row>
    <row r="47" spans="1:11" x14ac:dyDescent="0.3">
      <c r="A47" t="s">
        <v>651</v>
      </c>
      <c r="B47" s="10">
        <v>44441</v>
      </c>
      <c r="C47" t="s">
        <v>7</v>
      </c>
      <c r="D47" s="9" t="s">
        <v>164</v>
      </c>
      <c r="E47" s="42" t="s">
        <v>165</v>
      </c>
      <c r="F47" s="42" t="s">
        <v>166</v>
      </c>
      <c r="G47" s="42">
        <v>2.8472222222222288E-2</v>
      </c>
      <c r="H47" s="12" t="s">
        <v>20</v>
      </c>
      <c r="I47">
        <v>13.666666666666698</v>
      </c>
      <c r="J47" t="s">
        <v>42</v>
      </c>
      <c r="K47" t="s">
        <v>18</v>
      </c>
    </row>
    <row r="48" spans="1:11" x14ac:dyDescent="0.3">
      <c r="A48" t="s">
        <v>652</v>
      </c>
      <c r="B48" s="10">
        <v>44456</v>
      </c>
      <c r="C48" t="s">
        <v>7</v>
      </c>
      <c r="D48" s="9" t="s">
        <v>167</v>
      </c>
      <c r="E48" s="42" t="s">
        <v>168</v>
      </c>
      <c r="F48" s="42" t="s">
        <v>169</v>
      </c>
      <c r="G48" s="42">
        <v>1.5277777777777779E-2</v>
      </c>
      <c r="H48" s="12" t="s">
        <v>20</v>
      </c>
      <c r="I48">
        <v>7.3333333333333339</v>
      </c>
      <c r="J48" t="s">
        <v>77</v>
      </c>
      <c r="K48" t="s">
        <v>18</v>
      </c>
    </row>
    <row r="49" spans="1:11" x14ac:dyDescent="0.3">
      <c r="A49" t="s">
        <v>653</v>
      </c>
      <c r="B49" s="10">
        <v>44420</v>
      </c>
      <c r="C49" t="s">
        <v>10</v>
      </c>
      <c r="D49" s="9" t="s">
        <v>170</v>
      </c>
      <c r="E49" s="42" t="s">
        <v>171</v>
      </c>
      <c r="F49" s="42" t="s">
        <v>30</v>
      </c>
      <c r="G49" s="42">
        <v>0.10694444444444445</v>
      </c>
      <c r="H49" s="12" t="s">
        <v>31</v>
      </c>
      <c r="I49">
        <v>23.1</v>
      </c>
      <c r="J49" t="s">
        <v>117</v>
      </c>
      <c r="K49" t="s">
        <v>18</v>
      </c>
    </row>
    <row r="50" spans="1:11" x14ac:dyDescent="0.3">
      <c r="A50" t="s">
        <v>654</v>
      </c>
      <c r="B50" s="10">
        <v>44373</v>
      </c>
      <c r="C50" t="s">
        <v>9</v>
      </c>
      <c r="D50" s="9" t="s">
        <v>172</v>
      </c>
      <c r="E50" s="42" t="s">
        <v>173</v>
      </c>
      <c r="F50" s="42" t="s">
        <v>174</v>
      </c>
      <c r="G50" s="42">
        <v>0.14374999999999999</v>
      </c>
      <c r="H50" s="12" t="s">
        <v>20</v>
      </c>
      <c r="I50">
        <v>41.4</v>
      </c>
      <c r="J50" t="s">
        <v>96</v>
      </c>
      <c r="K50" t="s">
        <v>18</v>
      </c>
    </row>
    <row r="51" spans="1:11" x14ac:dyDescent="0.3">
      <c r="A51" t="s">
        <v>655</v>
      </c>
      <c r="B51" s="10">
        <v>44374</v>
      </c>
      <c r="C51" t="s">
        <v>7</v>
      </c>
      <c r="D51" s="9" t="s">
        <v>175</v>
      </c>
      <c r="E51" s="42" t="s">
        <v>82</v>
      </c>
      <c r="F51" s="42" t="s">
        <v>176</v>
      </c>
      <c r="G51" s="42">
        <v>0.26597222222222228</v>
      </c>
      <c r="H51" s="12" t="s">
        <v>31</v>
      </c>
      <c r="I51">
        <v>127.66666666666669</v>
      </c>
      <c r="J51" t="s">
        <v>77</v>
      </c>
      <c r="K51" t="s">
        <v>18</v>
      </c>
    </row>
    <row r="52" spans="1:11" x14ac:dyDescent="0.3">
      <c r="A52" t="s">
        <v>656</v>
      </c>
      <c r="B52" s="10">
        <v>44357</v>
      </c>
      <c r="C52" t="s">
        <v>7</v>
      </c>
      <c r="D52" s="9" t="s">
        <v>177</v>
      </c>
      <c r="E52" s="42" t="s">
        <v>114</v>
      </c>
      <c r="F52" s="42" t="s">
        <v>178</v>
      </c>
      <c r="G52" s="42">
        <v>0.18333333333333335</v>
      </c>
      <c r="H52" s="12" t="s">
        <v>31</v>
      </c>
      <c r="I52">
        <v>88</v>
      </c>
      <c r="J52" t="s">
        <v>106</v>
      </c>
      <c r="K52" t="s">
        <v>18</v>
      </c>
    </row>
    <row r="53" spans="1:11" x14ac:dyDescent="0.3">
      <c r="A53" t="s">
        <v>657</v>
      </c>
      <c r="B53" s="10">
        <v>44451</v>
      </c>
      <c r="C53" t="s">
        <v>9</v>
      </c>
      <c r="D53" s="9" t="s">
        <v>179</v>
      </c>
      <c r="E53" s="42" t="s">
        <v>180</v>
      </c>
      <c r="F53" s="42" t="s">
        <v>181</v>
      </c>
      <c r="G53" s="42">
        <v>7.4305555555555569E-2</v>
      </c>
      <c r="H53" s="12" t="s">
        <v>31</v>
      </c>
      <c r="I53">
        <v>21.400000000000006</v>
      </c>
      <c r="J53" t="s">
        <v>106</v>
      </c>
      <c r="K53" t="s">
        <v>18</v>
      </c>
    </row>
    <row r="54" spans="1:11" x14ac:dyDescent="0.3">
      <c r="A54" t="s">
        <v>658</v>
      </c>
      <c r="B54" s="10">
        <v>44369</v>
      </c>
      <c r="C54" t="s">
        <v>10</v>
      </c>
      <c r="D54" s="9" t="s">
        <v>182</v>
      </c>
      <c r="E54" s="42" t="s">
        <v>183</v>
      </c>
      <c r="F54" s="42" t="s">
        <v>151</v>
      </c>
      <c r="G54" s="42">
        <v>7.4305555555555569E-2</v>
      </c>
      <c r="H54" s="12" t="s">
        <v>31</v>
      </c>
      <c r="I54">
        <v>16.050000000000004</v>
      </c>
      <c r="J54" t="s">
        <v>96</v>
      </c>
      <c r="K54" t="s">
        <v>18</v>
      </c>
    </row>
    <row r="55" spans="1:11" x14ac:dyDescent="0.3">
      <c r="A55" t="s">
        <v>659</v>
      </c>
      <c r="B55" s="10">
        <v>44349</v>
      </c>
      <c r="C55" t="s">
        <v>7</v>
      </c>
      <c r="D55" s="9" t="s">
        <v>184</v>
      </c>
      <c r="E55" s="42" t="s">
        <v>94</v>
      </c>
      <c r="F55" s="42" t="s">
        <v>185</v>
      </c>
      <c r="G55" s="42">
        <v>0.27777777777777773</v>
      </c>
      <c r="H55" s="12" t="s">
        <v>31</v>
      </c>
      <c r="I55">
        <v>133.33333333333331</v>
      </c>
      <c r="J55" t="s">
        <v>49</v>
      </c>
      <c r="K55" t="s">
        <v>18</v>
      </c>
    </row>
    <row r="56" spans="1:11" x14ac:dyDescent="0.3">
      <c r="A56" t="s">
        <v>660</v>
      </c>
      <c r="B56" s="10">
        <v>44364</v>
      </c>
      <c r="C56" t="s">
        <v>9</v>
      </c>
      <c r="D56" s="9" t="s">
        <v>186</v>
      </c>
      <c r="E56" s="42" t="s">
        <v>111</v>
      </c>
      <c r="F56" s="42" t="s">
        <v>187</v>
      </c>
      <c r="G56" s="42">
        <v>0.12847222222222227</v>
      </c>
      <c r="H56" s="12" t="s">
        <v>20</v>
      </c>
      <c r="I56">
        <v>37.000000000000014</v>
      </c>
      <c r="J56" t="s">
        <v>106</v>
      </c>
      <c r="K56" t="s">
        <v>18</v>
      </c>
    </row>
    <row r="57" spans="1:11" x14ac:dyDescent="0.3">
      <c r="A57" t="s">
        <v>661</v>
      </c>
      <c r="B57" s="10">
        <v>44445</v>
      </c>
      <c r="C57" t="s">
        <v>8</v>
      </c>
      <c r="D57" s="9" t="s">
        <v>188</v>
      </c>
      <c r="E57" s="42" t="s">
        <v>189</v>
      </c>
      <c r="F57" s="42" t="s">
        <v>190</v>
      </c>
      <c r="G57" s="42">
        <v>0.12847222222222227</v>
      </c>
      <c r="H57" s="12" t="s">
        <v>31</v>
      </c>
      <c r="I57">
        <v>46.250000000000014</v>
      </c>
      <c r="J57" t="s">
        <v>90</v>
      </c>
      <c r="K57" t="s">
        <v>18</v>
      </c>
    </row>
    <row r="58" spans="1:11" x14ac:dyDescent="0.3">
      <c r="A58" t="s">
        <v>662</v>
      </c>
      <c r="B58" s="10">
        <v>44378</v>
      </c>
      <c r="C58" t="s">
        <v>8</v>
      </c>
      <c r="D58" s="9" t="s">
        <v>191</v>
      </c>
      <c r="E58" s="42" t="s">
        <v>192</v>
      </c>
      <c r="F58" s="42" t="s">
        <v>193</v>
      </c>
      <c r="G58" s="42">
        <v>0.16249999999999992</v>
      </c>
      <c r="H58" s="12" t="s">
        <v>20</v>
      </c>
      <c r="I58">
        <v>58.499999999999972</v>
      </c>
      <c r="J58" t="s">
        <v>57</v>
      </c>
      <c r="K58" t="s">
        <v>18</v>
      </c>
    </row>
    <row r="59" spans="1:11" x14ac:dyDescent="0.3">
      <c r="A59" t="s">
        <v>663</v>
      </c>
      <c r="B59" s="10">
        <v>44441</v>
      </c>
      <c r="C59" t="s">
        <v>10</v>
      </c>
      <c r="D59" s="9" t="s">
        <v>194</v>
      </c>
      <c r="E59" s="42" t="s">
        <v>195</v>
      </c>
      <c r="F59" s="42" t="s">
        <v>196</v>
      </c>
      <c r="G59" s="42">
        <v>0.11458333333333331</v>
      </c>
      <c r="H59" s="12" t="s">
        <v>31</v>
      </c>
      <c r="I59">
        <v>24.749999999999996</v>
      </c>
      <c r="J59" t="s">
        <v>117</v>
      </c>
      <c r="K59" t="s">
        <v>18</v>
      </c>
    </row>
    <row r="60" spans="1:11" x14ac:dyDescent="0.3">
      <c r="A60" t="s">
        <v>664</v>
      </c>
      <c r="B60" s="10">
        <v>44381</v>
      </c>
      <c r="C60" t="s">
        <v>9</v>
      </c>
      <c r="D60" s="9" t="s">
        <v>197</v>
      </c>
      <c r="E60" s="42" t="s">
        <v>198</v>
      </c>
      <c r="F60" s="42" t="s">
        <v>199</v>
      </c>
      <c r="G60" s="42">
        <v>0.1687499999999999</v>
      </c>
      <c r="H60" s="12" t="s">
        <v>20</v>
      </c>
      <c r="I60">
        <v>48.599999999999966</v>
      </c>
      <c r="J60" t="s">
        <v>77</v>
      </c>
      <c r="K60" t="s">
        <v>18</v>
      </c>
    </row>
    <row r="61" spans="1:11" x14ac:dyDescent="0.3">
      <c r="A61" t="s">
        <v>665</v>
      </c>
      <c r="B61" s="10">
        <v>44460</v>
      </c>
      <c r="C61" t="s">
        <v>7</v>
      </c>
      <c r="D61" s="9" t="s">
        <v>200</v>
      </c>
      <c r="E61" s="42" t="s">
        <v>98</v>
      </c>
      <c r="F61" s="42" t="s">
        <v>201</v>
      </c>
      <c r="G61" s="42">
        <v>0.20138888888888895</v>
      </c>
      <c r="H61" s="12" t="s">
        <v>31</v>
      </c>
      <c r="I61">
        <v>96.6666666666667</v>
      </c>
      <c r="J61" t="s">
        <v>117</v>
      </c>
      <c r="K61" t="s">
        <v>18</v>
      </c>
    </row>
    <row r="62" spans="1:11" x14ac:dyDescent="0.3">
      <c r="A62" t="s">
        <v>666</v>
      </c>
      <c r="B62" s="10">
        <v>44398</v>
      </c>
      <c r="C62" t="s">
        <v>7</v>
      </c>
      <c r="D62" s="9" t="s">
        <v>202</v>
      </c>
      <c r="E62" s="42" t="s">
        <v>203</v>
      </c>
      <c r="F62" s="42" t="s">
        <v>204</v>
      </c>
      <c r="G62" s="42">
        <v>0.26319444444444445</v>
      </c>
      <c r="H62" s="12" t="s">
        <v>31</v>
      </c>
      <c r="I62">
        <v>126.33333333333333</v>
      </c>
      <c r="J62" t="s">
        <v>24</v>
      </c>
      <c r="K62" t="s">
        <v>18</v>
      </c>
    </row>
    <row r="63" spans="1:11" x14ac:dyDescent="0.3">
      <c r="A63" t="s">
        <v>667</v>
      </c>
      <c r="B63" s="10">
        <v>44464</v>
      </c>
      <c r="C63" t="s">
        <v>7</v>
      </c>
      <c r="D63" s="9" t="s">
        <v>205</v>
      </c>
      <c r="E63" s="42" t="s">
        <v>37</v>
      </c>
      <c r="F63" s="42" t="s">
        <v>206</v>
      </c>
      <c r="G63" s="42">
        <v>8.1249999999999933E-2</v>
      </c>
      <c r="H63" s="12" t="s">
        <v>31</v>
      </c>
      <c r="I63">
        <v>38.999999999999972</v>
      </c>
      <c r="J63" t="s">
        <v>96</v>
      </c>
      <c r="K63" t="s">
        <v>18</v>
      </c>
    </row>
    <row r="64" spans="1:11" x14ac:dyDescent="0.3">
      <c r="A64" t="s">
        <v>668</v>
      </c>
      <c r="B64" s="10">
        <v>44397</v>
      </c>
      <c r="C64" t="s">
        <v>10</v>
      </c>
      <c r="D64" s="9" t="s">
        <v>207</v>
      </c>
      <c r="E64" s="42" t="s">
        <v>208</v>
      </c>
      <c r="F64" s="42" t="s">
        <v>209</v>
      </c>
      <c r="G64" s="42">
        <v>0.22152777777777782</v>
      </c>
      <c r="H64" s="12" t="s">
        <v>31</v>
      </c>
      <c r="I64">
        <v>47.850000000000016</v>
      </c>
      <c r="J64" t="s">
        <v>117</v>
      </c>
      <c r="K64" t="s">
        <v>18</v>
      </c>
    </row>
    <row r="65" spans="1:11" x14ac:dyDescent="0.3">
      <c r="A65" t="s">
        <v>669</v>
      </c>
      <c r="B65" s="10">
        <v>44382</v>
      </c>
      <c r="C65" t="s">
        <v>8</v>
      </c>
      <c r="D65" s="9" t="s">
        <v>210</v>
      </c>
      <c r="E65" s="42" t="s">
        <v>211</v>
      </c>
      <c r="F65" s="42" t="s">
        <v>212</v>
      </c>
      <c r="G65" s="42">
        <v>0.16250000000000003</v>
      </c>
      <c r="H65" s="12" t="s">
        <v>31</v>
      </c>
      <c r="I65">
        <v>58.500000000000014</v>
      </c>
      <c r="J65" t="s">
        <v>35</v>
      </c>
      <c r="K65" t="s">
        <v>18</v>
      </c>
    </row>
    <row r="66" spans="1:11" x14ac:dyDescent="0.3">
      <c r="A66" t="s">
        <v>670</v>
      </c>
      <c r="B66" s="10">
        <v>44433</v>
      </c>
      <c r="C66" t="s">
        <v>8</v>
      </c>
      <c r="D66" s="9" t="s">
        <v>213</v>
      </c>
      <c r="E66" s="42" t="s">
        <v>214</v>
      </c>
      <c r="F66" s="42" t="s">
        <v>215</v>
      </c>
      <c r="G66" s="42">
        <v>0.21180555555555552</v>
      </c>
      <c r="H66" s="12" t="s">
        <v>31</v>
      </c>
      <c r="I66">
        <v>76.249999999999986</v>
      </c>
      <c r="J66" t="s">
        <v>46</v>
      </c>
      <c r="K66" t="s">
        <v>18</v>
      </c>
    </row>
    <row r="67" spans="1:11" x14ac:dyDescent="0.3">
      <c r="A67" t="s">
        <v>671</v>
      </c>
      <c r="B67" s="10">
        <v>44371</v>
      </c>
      <c r="C67" t="s">
        <v>7</v>
      </c>
      <c r="D67" s="9" t="s">
        <v>216</v>
      </c>
      <c r="E67" s="42" t="s">
        <v>26</v>
      </c>
      <c r="F67" s="42" t="s">
        <v>217</v>
      </c>
      <c r="G67" s="42">
        <v>0.2673611111111111</v>
      </c>
      <c r="H67" s="12" t="s">
        <v>20</v>
      </c>
      <c r="I67">
        <v>128.33333333333331</v>
      </c>
      <c r="J67" t="s">
        <v>49</v>
      </c>
      <c r="K67" t="s">
        <v>18</v>
      </c>
    </row>
    <row r="68" spans="1:11" x14ac:dyDescent="0.3">
      <c r="A68" t="s">
        <v>672</v>
      </c>
      <c r="B68" s="10">
        <v>44419</v>
      </c>
      <c r="C68" t="s">
        <v>9</v>
      </c>
      <c r="D68" s="9" t="s">
        <v>218</v>
      </c>
      <c r="E68" s="42" t="s">
        <v>219</v>
      </c>
      <c r="F68" s="42" t="s">
        <v>27</v>
      </c>
      <c r="G68" s="42">
        <v>0.16458333333333325</v>
      </c>
      <c r="H68" s="12" t="s">
        <v>20</v>
      </c>
      <c r="I68">
        <v>47.399999999999977</v>
      </c>
      <c r="J68" t="s">
        <v>42</v>
      </c>
      <c r="K68" t="s">
        <v>18</v>
      </c>
    </row>
    <row r="69" spans="1:11" x14ac:dyDescent="0.3">
      <c r="A69" t="s">
        <v>673</v>
      </c>
      <c r="B69" s="10">
        <v>44469</v>
      </c>
      <c r="C69" t="s">
        <v>7</v>
      </c>
      <c r="D69" s="9" t="s">
        <v>220</v>
      </c>
      <c r="E69" s="42" t="s">
        <v>221</v>
      </c>
      <c r="F69" s="42" t="s">
        <v>222</v>
      </c>
      <c r="G69" s="42">
        <v>0.22777777777777775</v>
      </c>
      <c r="H69" s="12" t="s">
        <v>31</v>
      </c>
      <c r="I69">
        <v>109.33333333333331</v>
      </c>
      <c r="J69" t="s">
        <v>35</v>
      </c>
      <c r="K69" t="s">
        <v>18</v>
      </c>
    </row>
    <row r="70" spans="1:11" x14ac:dyDescent="0.3">
      <c r="A70" t="s">
        <v>674</v>
      </c>
      <c r="B70" s="10">
        <v>44456</v>
      </c>
      <c r="C70" t="s">
        <v>9</v>
      </c>
      <c r="D70" s="9" t="s">
        <v>223</v>
      </c>
      <c r="E70" s="42" t="s">
        <v>224</v>
      </c>
      <c r="F70" s="42" t="s">
        <v>112</v>
      </c>
      <c r="G70" s="42">
        <v>9.0972222222222177E-2</v>
      </c>
      <c r="H70" s="12" t="s">
        <v>31</v>
      </c>
      <c r="I70">
        <v>26.199999999999989</v>
      </c>
      <c r="J70" t="s">
        <v>117</v>
      </c>
      <c r="K70" t="s">
        <v>18</v>
      </c>
    </row>
    <row r="71" spans="1:11" x14ac:dyDescent="0.3">
      <c r="A71" t="s">
        <v>675</v>
      </c>
      <c r="B71" s="10">
        <v>44444</v>
      </c>
      <c r="C71" t="s">
        <v>10</v>
      </c>
      <c r="D71" s="9" t="s">
        <v>225</v>
      </c>
      <c r="E71" s="42" t="s">
        <v>226</v>
      </c>
      <c r="F71" s="42" t="s">
        <v>227</v>
      </c>
      <c r="G71" s="42">
        <v>0.2729166666666667</v>
      </c>
      <c r="H71" s="12" t="s">
        <v>20</v>
      </c>
      <c r="I71">
        <v>58.95</v>
      </c>
      <c r="J71" t="s">
        <v>77</v>
      </c>
      <c r="K71" t="s">
        <v>18</v>
      </c>
    </row>
    <row r="72" spans="1:11" x14ac:dyDescent="0.3">
      <c r="A72" t="s">
        <v>676</v>
      </c>
      <c r="B72" s="10">
        <v>44457</v>
      </c>
      <c r="C72" t="s">
        <v>10</v>
      </c>
      <c r="D72" s="9" t="s">
        <v>228</v>
      </c>
      <c r="E72" s="42" t="s">
        <v>229</v>
      </c>
      <c r="F72" s="42" t="s">
        <v>230</v>
      </c>
      <c r="G72" s="42">
        <v>0.30555555555555552</v>
      </c>
      <c r="H72" s="12" t="s">
        <v>31</v>
      </c>
      <c r="I72">
        <v>65.999999999999986</v>
      </c>
      <c r="J72" t="s">
        <v>64</v>
      </c>
      <c r="K72" t="s">
        <v>18</v>
      </c>
    </row>
    <row r="73" spans="1:11" x14ac:dyDescent="0.3">
      <c r="A73" t="s">
        <v>677</v>
      </c>
      <c r="B73" s="10">
        <v>44355</v>
      </c>
      <c r="C73" t="s">
        <v>8</v>
      </c>
      <c r="D73" s="9" t="s">
        <v>231</v>
      </c>
      <c r="E73" s="42" t="s">
        <v>55</v>
      </c>
      <c r="F73" s="42" t="s">
        <v>232</v>
      </c>
      <c r="G73" s="42">
        <v>0.28819444444444442</v>
      </c>
      <c r="H73" s="12" t="s">
        <v>31</v>
      </c>
      <c r="I73">
        <v>103.74999999999999</v>
      </c>
      <c r="J73" t="s">
        <v>117</v>
      </c>
      <c r="K73" t="s">
        <v>18</v>
      </c>
    </row>
    <row r="74" spans="1:11" x14ac:dyDescent="0.3">
      <c r="A74" t="s">
        <v>678</v>
      </c>
      <c r="B74" s="10">
        <v>44375</v>
      </c>
      <c r="C74" t="s">
        <v>10</v>
      </c>
      <c r="D74" s="9" t="s">
        <v>233</v>
      </c>
      <c r="E74" s="42" t="s">
        <v>98</v>
      </c>
      <c r="F74" s="42" t="s">
        <v>234</v>
      </c>
      <c r="G74" s="42">
        <v>0.21944444444444444</v>
      </c>
      <c r="H74" s="12" t="s">
        <v>31</v>
      </c>
      <c r="I74">
        <v>47.4</v>
      </c>
      <c r="J74" t="s">
        <v>117</v>
      </c>
      <c r="K74" t="s">
        <v>18</v>
      </c>
    </row>
    <row r="75" spans="1:11" x14ac:dyDescent="0.3">
      <c r="A75" t="s">
        <v>679</v>
      </c>
      <c r="B75" s="10">
        <v>44366</v>
      </c>
      <c r="C75" t="s">
        <v>8</v>
      </c>
      <c r="D75" s="9" t="s">
        <v>235</v>
      </c>
      <c r="E75" s="42" t="s">
        <v>236</v>
      </c>
      <c r="F75" s="42" t="s">
        <v>187</v>
      </c>
      <c r="G75" s="42">
        <v>8.0555555555555547E-2</v>
      </c>
      <c r="H75" s="12" t="s">
        <v>20</v>
      </c>
      <c r="I75">
        <v>28.999999999999996</v>
      </c>
      <c r="J75" t="s">
        <v>42</v>
      </c>
      <c r="K75" t="s">
        <v>18</v>
      </c>
    </row>
    <row r="76" spans="1:11" x14ac:dyDescent="0.3">
      <c r="A76" t="s">
        <v>680</v>
      </c>
      <c r="B76" s="10">
        <v>44351</v>
      </c>
      <c r="C76" t="s">
        <v>9</v>
      </c>
      <c r="D76" s="9" t="s">
        <v>237</v>
      </c>
      <c r="E76" s="42" t="s">
        <v>238</v>
      </c>
      <c r="F76" s="42" t="s">
        <v>80</v>
      </c>
      <c r="G76" s="42">
        <v>0.30138888888888887</v>
      </c>
      <c r="H76" s="12" t="s">
        <v>20</v>
      </c>
      <c r="I76">
        <v>86.799999999999983</v>
      </c>
      <c r="J76" t="s">
        <v>117</v>
      </c>
      <c r="K76" t="s">
        <v>18</v>
      </c>
    </row>
    <row r="77" spans="1:11" x14ac:dyDescent="0.3">
      <c r="A77" t="s">
        <v>681</v>
      </c>
      <c r="B77" s="10">
        <v>44420</v>
      </c>
      <c r="C77" t="s">
        <v>8</v>
      </c>
      <c r="D77" s="9" t="s">
        <v>239</v>
      </c>
      <c r="E77" s="42" t="s">
        <v>240</v>
      </c>
      <c r="F77" s="42" t="s">
        <v>241</v>
      </c>
      <c r="G77" s="42">
        <v>0.12986111111111115</v>
      </c>
      <c r="H77" s="12" t="s">
        <v>20</v>
      </c>
      <c r="I77">
        <v>46.750000000000014</v>
      </c>
      <c r="J77" t="s">
        <v>106</v>
      </c>
      <c r="K77" t="s">
        <v>18</v>
      </c>
    </row>
    <row r="78" spans="1:11" x14ac:dyDescent="0.3">
      <c r="A78" t="s">
        <v>682</v>
      </c>
      <c r="B78" s="10">
        <v>44448</v>
      </c>
      <c r="C78" t="s">
        <v>10</v>
      </c>
      <c r="D78" s="9" t="s">
        <v>242</v>
      </c>
      <c r="E78" s="42" t="s">
        <v>243</v>
      </c>
      <c r="F78" s="42" t="s">
        <v>244</v>
      </c>
      <c r="G78" s="42">
        <v>0.16319444444444448</v>
      </c>
      <c r="H78" s="12" t="s">
        <v>20</v>
      </c>
      <c r="I78">
        <v>35.250000000000007</v>
      </c>
      <c r="J78" t="s">
        <v>134</v>
      </c>
      <c r="K78" t="s">
        <v>18</v>
      </c>
    </row>
    <row r="79" spans="1:11" x14ac:dyDescent="0.3">
      <c r="A79" t="s">
        <v>683</v>
      </c>
      <c r="B79" s="10">
        <v>44377</v>
      </c>
      <c r="C79" t="s">
        <v>8</v>
      </c>
      <c r="D79" s="9" t="s">
        <v>245</v>
      </c>
      <c r="E79" s="42" t="s">
        <v>139</v>
      </c>
      <c r="F79" s="42" t="s">
        <v>130</v>
      </c>
      <c r="G79" s="42">
        <v>0.2458333333333334</v>
      </c>
      <c r="H79" s="12" t="s">
        <v>31</v>
      </c>
      <c r="I79">
        <v>88.500000000000028</v>
      </c>
      <c r="J79" t="s">
        <v>106</v>
      </c>
      <c r="K79" t="s">
        <v>18</v>
      </c>
    </row>
    <row r="80" spans="1:11" x14ac:dyDescent="0.3">
      <c r="A80" t="s">
        <v>684</v>
      </c>
      <c r="B80" s="10">
        <v>44409</v>
      </c>
      <c r="C80" t="s">
        <v>10</v>
      </c>
      <c r="D80" s="9" t="s">
        <v>246</v>
      </c>
      <c r="E80" s="42" t="s">
        <v>247</v>
      </c>
      <c r="F80" s="42" t="s">
        <v>112</v>
      </c>
      <c r="G80" s="42">
        <v>1.0416666666666685E-2</v>
      </c>
      <c r="H80" s="12" t="s">
        <v>20</v>
      </c>
      <c r="I80">
        <v>2.250000000000004</v>
      </c>
      <c r="J80" t="s">
        <v>46</v>
      </c>
      <c r="K80" t="s">
        <v>18</v>
      </c>
    </row>
    <row r="81" spans="1:11" x14ac:dyDescent="0.3">
      <c r="A81" t="s">
        <v>685</v>
      </c>
      <c r="B81" s="10">
        <v>44400</v>
      </c>
      <c r="C81" t="s">
        <v>7</v>
      </c>
      <c r="D81" s="9" t="s">
        <v>248</v>
      </c>
      <c r="E81" s="42" t="s">
        <v>249</v>
      </c>
      <c r="F81" s="42" t="s">
        <v>250</v>
      </c>
      <c r="G81" s="42">
        <v>0.13194444444444448</v>
      </c>
      <c r="H81" s="12" t="s">
        <v>20</v>
      </c>
      <c r="I81">
        <v>63.33333333333335</v>
      </c>
      <c r="J81" t="s">
        <v>17</v>
      </c>
      <c r="K81" t="s">
        <v>18</v>
      </c>
    </row>
    <row r="82" spans="1:11" x14ac:dyDescent="0.3">
      <c r="A82" t="s">
        <v>686</v>
      </c>
      <c r="B82" s="10">
        <v>44441</v>
      </c>
      <c r="C82" t="s">
        <v>9</v>
      </c>
      <c r="D82" s="9" t="s">
        <v>251</v>
      </c>
      <c r="E82" s="42" t="s">
        <v>252</v>
      </c>
      <c r="F82" s="42" t="s">
        <v>253</v>
      </c>
      <c r="G82" s="42">
        <v>0.30208333333333331</v>
      </c>
      <c r="H82" s="12" t="s">
        <v>20</v>
      </c>
      <c r="I82">
        <v>87</v>
      </c>
      <c r="J82" t="s">
        <v>24</v>
      </c>
      <c r="K82" t="s">
        <v>18</v>
      </c>
    </row>
    <row r="83" spans="1:11" x14ac:dyDescent="0.3">
      <c r="A83" t="s">
        <v>687</v>
      </c>
      <c r="B83" s="10">
        <v>44369</v>
      </c>
      <c r="C83" t="s">
        <v>10</v>
      </c>
      <c r="D83" s="9" t="s">
        <v>254</v>
      </c>
      <c r="E83" s="42" t="s">
        <v>173</v>
      </c>
      <c r="F83" s="42" t="s">
        <v>169</v>
      </c>
      <c r="G83" s="42">
        <v>8.8194444444444409E-2</v>
      </c>
      <c r="H83" s="12" t="s">
        <v>20</v>
      </c>
      <c r="I83">
        <v>19.049999999999994</v>
      </c>
      <c r="J83" t="s">
        <v>64</v>
      </c>
      <c r="K83" t="s">
        <v>18</v>
      </c>
    </row>
    <row r="84" spans="1:11" x14ac:dyDescent="0.3">
      <c r="A84" t="s">
        <v>688</v>
      </c>
      <c r="B84" s="10">
        <v>44387</v>
      </c>
      <c r="C84" t="s">
        <v>10</v>
      </c>
      <c r="D84" s="9" t="s">
        <v>255</v>
      </c>
      <c r="E84" s="42" t="s">
        <v>256</v>
      </c>
      <c r="F84" s="42" t="s">
        <v>257</v>
      </c>
      <c r="G84" s="42">
        <v>0.1555555555555555</v>
      </c>
      <c r="H84" s="12" t="s">
        <v>31</v>
      </c>
      <c r="I84">
        <v>33.599999999999987</v>
      </c>
      <c r="J84" t="s">
        <v>77</v>
      </c>
      <c r="K84" t="s">
        <v>18</v>
      </c>
    </row>
    <row r="85" spans="1:11" x14ac:dyDescent="0.3">
      <c r="A85" t="s">
        <v>689</v>
      </c>
      <c r="B85" s="10">
        <v>44399</v>
      </c>
      <c r="C85" t="s">
        <v>9</v>
      </c>
      <c r="D85" s="9" t="s">
        <v>258</v>
      </c>
      <c r="E85" s="42" t="s">
        <v>259</v>
      </c>
      <c r="F85" s="42" t="s">
        <v>260</v>
      </c>
      <c r="G85" s="42">
        <v>0.34861111111111104</v>
      </c>
      <c r="H85" s="12" t="s">
        <v>31</v>
      </c>
      <c r="I85">
        <v>100.39999999999998</v>
      </c>
      <c r="J85" t="s">
        <v>77</v>
      </c>
      <c r="K85" t="s">
        <v>18</v>
      </c>
    </row>
    <row r="86" spans="1:11" x14ac:dyDescent="0.3">
      <c r="A86" t="s">
        <v>690</v>
      </c>
      <c r="B86" s="10">
        <v>44457</v>
      </c>
      <c r="C86" t="s">
        <v>8</v>
      </c>
      <c r="D86" s="9" t="s">
        <v>261</v>
      </c>
      <c r="E86" s="42" t="s">
        <v>262</v>
      </c>
      <c r="F86" s="42" t="s">
        <v>95</v>
      </c>
      <c r="G86" s="42">
        <v>0.28750000000000003</v>
      </c>
      <c r="H86" s="12" t="s">
        <v>20</v>
      </c>
      <c r="I86">
        <v>103.5</v>
      </c>
      <c r="J86" t="s">
        <v>106</v>
      </c>
      <c r="K86" t="s">
        <v>18</v>
      </c>
    </row>
    <row r="87" spans="1:11" x14ac:dyDescent="0.3">
      <c r="A87" t="s">
        <v>691</v>
      </c>
      <c r="B87" s="10">
        <v>44440</v>
      </c>
      <c r="C87" t="s">
        <v>9</v>
      </c>
      <c r="D87" s="9" t="s">
        <v>263</v>
      </c>
      <c r="E87" s="42" t="s">
        <v>264</v>
      </c>
      <c r="F87" s="42" t="s">
        <v>265</v>
      </c>
      <c r="G87" s="42">
        <v>8.4722222222222199E-2</v>
      </c>
      <c r="H87" s="12" t="s">
        <v>20</v>
      </c>
      <c r="I87">
        <v>24.399999999999991</v>
      </c>
      <c r="J87" t="s">
        <v>117</v>
      </c>
      <c r="K87" t="s">
        <v>18</v>
      </c>
    </row>
    <row r="88" spans="1:11" x14ac:dyDescent="0.3">
      <c r="A88" t="s">
        <v>692</v>
      </c>
      <c r="B88" s="10">
        <v>44428</v>
      </c>
      <c r="C88" t="s">
        <v>9</v>
      </c>
      <c r="D88" s="9" t="s">
        <v>266</v>
      </c>
      <c r="E88" s="42" t="s">
        <v>267</v>
      </c>
      <c r="F88" s="42" t="s">
        <v>265</v>
      </c>
      <c r="G88" s="42">
        <v>0.25555555555555548</v>
      </c>
      <c r="H88" s="12" t="s">
        <v>20</v>
      </c>
      <c r="I88">
        <v>73.599999999999966</v>
      </c>
      <c r="J88" t="s">
        <v>117</v>
      </c>
      <c r="K88" t="s">
        <v>18</v>
      </c>
    </row>
    <row r="89" spans="1:11" x14ac:dyDescent="0.3">
      <c r="A89" t="s">
        <v>693</v>
      </c>
      <c r="B89" s="10">
        <v>44421</v>
      </c>
      <c r="C89" t="s">
        <v>9</v>
      </c>
      <c r="D89" s="9" t="s">
        <v>268</v>
      </c>
      <c r="E89" s="42" t="s">
        <v>269</v>
      </c>
      <c r="F89" s="42" t="s">
        <v>270</v>
      </c>
      <c r="G89" s="42">
        <v>0.23333333333333334</v>
      </c>
      <c r="H89" s="12" t="s">
        <v>20</v>
      </c>
      <c r="I89">
        <v>67.199999999999989</v>
      </c>
      <c r="J89" t="s">
        <v>24</v>
      </c>
      <c r="K89" t="s">
        <v>18</v>
      </c>
    </row>
    <row r="90" spans="1:11" x14ac:dyDescent="0.3">
      <c r="A90" t="s">
        <v>694</v>
      </c>
      <c r="B90" s="10">
        <v>44404</v>
      </c>
      <c r="C90" t="s">
        <v>8</v>
      </c>
      <c r="D90" s="9" t="s">
        <v>271</v>
      </c>
      <c r="E90" s="42" t="s">
        <v>272</v>
      </c>
      <c r="F90" s="42" t="s">
        <v>76</v>
      </c>
      <c r="G90" s="42">
        <v>0.23194444444444445</v>
      </c>
      <c r="H90" s="12" t="s">
        <v>20</v>
      </c>
      <c r="I90">
        <v>83.5</v>
      </c>
      <c r="J90" t="s">
        <v>96</v>
      </c>
      <c r="K90" t="s">
        <v>18</v>
      </c>
    </row>
    <row r="91" spans="1:11" x14ac:dyDescent="0.3">
      <c r="A91" t="s">
        <v>695</v>
      </c>
      <c r="B91" s="10">
        <v>44367</v>
      </c>
      <c r="C91" t="s">
        <v>9</v>
      </c>
      <c r="D91" s="9" t="s">
        <v>273</v>
      </c>
      <c r="E91" s="42" t="s">
        <v>274</v>
      </c>
      <c r="F91" s="42" t="s">
        <v>275</v>
      </c>
      <c r="G91" s="42">
        <v>0.17013888888888895</v>
      </c>
      <c r="H91" s="12" t="s">
        <v>31</v>
      </c>
      <c r="I91">
        <v>49.000000000000014</v>
      </c>
      <c r="J91" t="s">
        <v>117</v>
      </c>
      <c r="K91" t="s">
        <v>18</v>
      </c>
    </row>
    <row r="92" spans="1:11" x14ac:dyDescent="0.3">
      <c r="A92" t="s">
        <v>696</v>
      </c>
      <c r="B92" s="10">
        <v>44440</v>
      </c>
      <c r="C92" t="s">
        <v>7</v>
      </c>
      <c r="D92" s="9" t="s">
        <v>276</v>
      </c>
      <c r="E92" s="42" t="s">
        <v>277</v>
      </c>
      <c r="F92" s="42" t="s">
        <v>105</v>
      </c>
      <c r="G92" s="42">
        <v>0.16736111111111102</v>
      </c>
      <c r="H92" s="12" t="s">
        <v>31</v>
      </c>
      <c r="I92">
        <v>80.333333333333286</v>
      </c>
      <c r="J92" t="s">
        <v>77</v>
      </c>
      <c r="K92" t="s">
        <v>18</v>
      </c>
    </row>
    <row r="93" spans="1:11" x14ac:dyDescent="0.3">
      <c r="A93" t="s">
        <v>697</v>
      </c>
      <c r="B93" s="10">
        <v>44406</v>
      </c>
      <c r="C93" t="s">
        <v>9</v>
      </c>
      <c r="D93" s="9" t="s">
        <v>278</v>
      </c>
      <c r="E93" s="42" t="s">
        <v>243</v>
      </c>
      <c r="F93" s="42" t="s">
        <v>279</v>
      </c>
      <c r="G93" s="42">
        <v>0.12847222222222227</v>
      </c>
      <c r="H93" s="12" t="s">
        <v>31</v>
      </c>
      <c r="I93">
        <v>37.000000000000014</v>
      </c>
      <c r="J93" t="s">
        <v>49</v>
      </c>
      <c r="K93" t="s">
        <v>18</v>
      </c>
    </row>
    <row r="94" spans="1:11" x14ac:dyDescent="0.3">
      <c r="A94" t="s">
        <v>698</v>
      </c>
      <c r="B94" s="10">
        <v>44374</v>
      </c>
      <c r="C94" t="s">
        <v>7</v>
      </c>
      <c r="D94" s="9" t="s">
        <v>280</v>
      </c>
      <c r="E94" s="42" t="s">
        <v>281</v>
      </c>
      <c r="F94" s="42" t="s">
        <v>282</v>
      </c>
      <c r="G94" s="42">
        <v>0.19722222222222213</v>
      </c>
      <c r="H94" s="12" t="s">
        <v>20</v>
      </c>
      <c r="I94">
        <v>94.666666666666615</v>
      </c>
      <c r="J94" t="s">
        <v>117</v>
      </c>
      <c r="K94" t="s">
        <v>18</v>
      </c>
    </row>
    <row r="95" spans="1:11" x14ac:dyDescent="0.3">
      <c r="A95" t="s">
        <v>699</v>
      </c>
      <c r="B95" s="10">
        <v>44370</v>
      </c>
      <c r="C95" t="s">
        <v>9</v>
      </c>
      <c r="D95" s="9" t="s">
        <v>283</v>
      </c>
      <c r="E95" s="42" t="s">
        <v>284</v>
      </c>
      <c r="F95" s="42" t="s">
        <v>285</v>
      </c>
      <c r="G95" s="42">
        <v>0.19583333333333336</v>
      </c>
      <c r="H95" s="12" t="s">
        <v>31</v>
      </c>
      <c r="I95">
        <v>56.400000000000013</v>
      </c>
      <c r="J95" t="s">
        <v>35</v>
      </c>
      <c r="K95" t="s">
        <v>18</v>
      </c>
    </row>
    <row r="96" spans="1:11" x14ac:dyDescent="0.3">
      <c r="A96" t="s">
        <v>700</v>
      </c>
      <c r="B96" s="10">
        <v>44432</v>
      </c>
      <c r="C96" t="s">
        <v>8</v>
      </c>
      <c r="D96" s="9" t="s">
        <v>286</v>
      </c>
      <c r="E96" s="42" t="s">
        <v>287</v>
      </c>
      <c r="F96" s="42" t="s">
        <v>244</v>
      </c>
      <c r="G96" s="42">
        <v>0.21527777777777785</v>
      </c>
      <c r="H96" s="12" t="s">
        <v>20</v>
      </c>
      <c r="I96">
        <v>77.500000000000014</v>
      </c>
      <c r="J96" t="s">
        <v>35</v>
      </c>
      <c r="K96" t="s">
        <v>18</v>
      </c>
    </row>
    <row r="97" spans="1:11" x14ac:dyDescent="0.3">
      <c r="A97" t="s">
        <v>701</v>
      </c>
      <c r="B97" s="10">
        <v>44361</v>
      </c>
      <c r="C97" t="s">
        <v>9</v>
      </c>
      <c r="D97" s="9" t="s">
        <v>288</v>
      </c>
      <c r="E97" s="42" t="s">
        <v>289</v>
      </c>
      <c r="F97" s="42" t="s">
        <v>290</v>
      </c>
      <c r="G97" s="42">
        <v>0.17708333333333337</v>
      </c>
      <c r="H97" s="12" t="s">
        <v>20</v>
      </c>
      <c r="I97">
        <v>51.000000000000014</v>
      </c>
      <c r="J97" t="s">
        <v>77</v>
      </c>
      <c r="K97" t="s">
        <v>18</v>
      </c>
    </row>
    <row r="98" spans="1:11" x14ac:dyDescent="0.3">
      <c r="A98" t="s">
        <v>702</v>
      </c>
      <c r="B98" s="10">
        <v>44468</v>
      </c>
      <c r="C98" t="s">
        <v>10</v>
      </c>
      <c r="D98" s="9" t="s">
        <v>291</v>
      </c>
      <c r="E98" s="42" t="s">
        <v>292</v>
      </c>
      <c r="F98" s="42" t="s">
        <v>293</v>
      </c>
      <c r="G98" s="42">
        <v>4.0972222222222188E-2</v>
      </c>
      <c r="H98" s="12" t="s">
        <v>20</v>
      </c>
      <c r="I98">
        <v>8.8499999999999925</v>
      </c>
      <c r="J98" t="s">
        <v>106</v>
      </c>
      <c r="K98" t="s">
        <v>18</v>
      </c>
    </row>
    <row r="99" spans="1:11" x14ac:dyDescent="0.3">
      <c r="A99" t="s">
        <v>703</v>
      </c>
      <c r="B99" s="10">
        <v>44449</v>
      </c>
      <c r="C99" t="s">
        <v>9</v>
      </c>
      <c r="D99" s="9" t="s">
        <v>294</v>
      </c>
      <c r="E99" s="42" t="s">
        <v>295</v>
      </c>
      <c r="F99" s="42" t="s">
        <v>296</v>
      </c>
      <c r="G99" s="42">
        <v>0.2493055555555555</v>
      </c>
      <c r="H99" s="12" t="s">
        <v>20</v>
      </c>
      <c r="I99">
        <v>71.799999999999983</v>
      </c>
      <c r="J99" t="s">
        <v>90</v>
      </c>
      <c r="K99" t="s">
        <v>18</v>
      </c>
    </row>
    <row r="100" spans="1:11" x14ac:dyDescent="0.3">
      <c r="A100" t="s">
        <v>704</v>
      </c>
      <c r="B100" s="10">
        <v>44381</v>
      </c>
      <c r="C100" t="s">
        <v>10</v>
      </c>
      <c r="D100" s="9" t="s">
        <v>297</v>
      </c>
      <c r="E100" s="42" t="s">
        <v>298</v>
      </c>
      <c r="F100" s="42" t="s">
        <v>299</v>
      </c>
      <c r="G100" s="42">
        <v>0.24027777777777781</v>
      </c>
      <c r="H100" s="12" t="s">
        <v>31</v>
      </c>
      <c r="I100">
        <v>51.900000000000006</v>
      </c>
      <c r="J100" t="s">
        <v>64</v>
      </c>
      <c r="K100" t="s">
        <v>18</v>
      </c>
    </row>
    <row r="101" spans="1:11" x14ac:dyDescent="0.3">
      <c r="A101" t="s">
        <v>705</v>
      </c>
      <c r="B101" s="10">
        <v>44356</v>
      </c>
      <c r="C101" t="s">
        <v>8</v>
      </c>
      <c r="D101" s="9" t="s">
        <v>300</v>
      </c>
      <c r="E101" s="42" t="s">
        <v>301</v>
      </c>
      <c r="F101" s="42" t="s">
        <v>302</v>
      </c>
      <c r="G101" s="42">
        <v>0.18750000000000006</v>
      </c>
      <c r="H101" s="12" t="s">
        <v>20</v>
      </c>
      <c r="I101">
        <v>67.500000000000028</v>
      </c>
      <c r="J101" t="s">
        <v>17</v>
      </c>
      <c r="K101" t="s">
        <v>18</v>
      </c>
    </row>
    <row r="102" spans="1:11" x14ac:dyDescent="0.3">
      <c r="A102" t="s">
        <v>706</v>
      </c>
      <c r="B102" s="10">
        <v>44358</v>
      </c>
      <c r="C102" t="s">
        <v>9</v>
      </c>
      <c r="D102" s="9" t="s">
        <v>303</v>
      </c>
      <c r="E102" s="42" t="s">
        <v>98</v>
      </c>
      <c r="F102" s="42" t="s">
        <v>102</v>
      </c>
      <c r="G102" s="42">
        <v>0.17222222222222217</v>
      </c>
      <c r="H102" s="12" t="s">
        <v>31</v>
      </c>
      <c r="I102">
        <v>49.59999999999998</v>
      </c>
      <c r="J102" t="s">
        <v>42</v>
      </c>
      <c r="K102" t="s">
        <v>18</v>
      </c>
    </row>
    <row r="103" spans="1:11" x14ac:dyDescent="0.3">
      <c r="A103" t="s">
        <v>707</v>
      </c>
      <c r="B103" s="10">
        <v>44402</v>
      </c>
      <c r="C103" t="s">
        <v>10</v>
      </c>
      <c r="D103" s="9" t="s">
        <v>304</v>
      </c>
      <c r="E103" s="42" t="s">
        <v>305</v>
      </c>
      <c r="F103" s="42" t="s">
        <v>306</v>
      </c>
      <c r="G103" s="42">
        <v>0.2638888888888889</v>
      </c>
      <c r="H103" s="12" t="s">
        <v>20</v>
      </c>
      <c r="I103">
        <v>57.000000000000007</v>
      </c>
      <c r="J103" t="s">
        <v>53</v>
      </c>
      <c r="K103" t="s">
        <v>18</v>
      </c>
    </row>
    <row r="104" spans="1:11" x14ac:dyDescent="0.3">
      <c r="A104" t="s">
        <v>708</v>
      </c>
      <c r="B104" s="10">
        <v>44423</v>
      </c>
      <c r="C104" t="s">
        <v>7</v>
      </c>
      <c r="D104" s="9" t="s">
        <v>307</v>
      </c>
      <c r="E104" s="42" t="s">
        <v>259</v>
      </c>
      <c r="F104" s="42" t="s">
        <v>133</v>
      </c>
      <c r="G104" s="42">
        <v>0.20624999999999999</v>
      </c>
      <c r="H104" s="12" t="s">
        <v>31</v>
      </c>
      <c r="I104">
        <v>98.999999999999986</v>
      </c>
      <c r="J104" t="s">
        <v>77</v>
      </c>
      <c r="K104" t="s">
        <v>18</v>
      </c>
    </row>
    <row r="105" spans="1:11" x14ac:dyDescent="0.3">
      <c r="A105" t="s">
        <v>709</v>
      </c>
      <c r="B105" s="10">
        <v>44358</v>
      </c>
      <c r="C105" t="s">
        <v>9</v>
      </c>
      <c r="D105" s="9" t="s">
        <v>308</v>
      </c>
      <c r="E105" s="42" t="s">
        <v>309</v>
      </c>
      <c r="F105" s="42" t="s">
        <v>310</v>
      </c>
      <c r="G105" s="42">
        <v>0.34374999999999994</v>
      </c>
      <c r="H105" s="12" t="s">
        <v>31</v>
      </c>
      <c r="I105">
        <v>98.999999999999972</v>
      </c>
      <c r="J105" t="s">
        <v>64</v>
      </c>
      <c r="K105" t="s">
        <v>18</v>
      </c>
    </row>
    <row r="106" spans="1:11" x14ac:dyDescent="0.3">
      <c r="A106" t="s">
        <v>710</v>
      </c>
      <c r="B106" s="10">
        <v>44388</v>
      </c>
      <c r="C106" t="s">
        <v>9</v>
      </c>
      <c r="D106" s="9" t="s">
        <v>311</v>
      </c>
      <c r="E106" s="42" t="s">
        <v>249</v>
      </c>
      <c r="F106" s="42" t="s">
        <v>312</v>
      </c>
      <c r="G106" s="42">
        <v>0.22916666666666669</v>
      </c>
      <c r="H106" s="12" t="s">
        <v>20</v>
      </c>
      <c r="I106">
        <v>66</v>
      </c>
      <c r="J106" t="s">
        <v>96</v>
      </c>
      <c r="K106" t="s">
        <v>18</v>
      </c>
    </row>
    <row r="107" spans="1:11" x14ac:dyDescent="0.3">
      <c r="A107" t="s">
        <v>711</v>
      </c>
      <c r="B107" s="10">
        <v>44468</v>
      </c>
      <c r="C107" t="s">
        <v>8</v>
      </c>
      <c r="D107" s="9" t="s">
        <v>313</v>
      </c>
      <c r="E107" s="42" t="s">
        <v>195</v>
      </c>
      <c r="F107" s="42" t="s">
        <v>314</v>
      </c>
      <c r="G107" s="42">
        <v>0.13958333333333334</v>
      </c>
      <c r="H107" s="12" t="s">
        <v>31</v>
      </c>
      <c r="I107">
        <v>50.25</v>
      </c>
      <c r="J107" t="s">
        <v>49</v>
      </c>
      <c r="K107" t="s">
        <v>18</v>
      </c>
    </row>
    <row r="108" spans="1:11" x14ac:dyDescent="0.3">
      <c r="A108" t="s">
        <v>712</v>
      </c>
      <c r="B108" s="10">
        <v>44455</v>
      </c>
      <c r="C108" t="s">
        <v>9</v>
      </c>
      <c r="D108" s="9" t="s">
        <v>315</v>
      </c>
      <c r="E108" s="42" t="s">
        <v>316</v>
      </c>
      <c r="F108" s="42" t="s">
        <v>178</v>
      </c>
      <c r="G108" s="42">
        <v>0.18680555555555561</v>
      </c>
      <c r="H108" s="12" t="s">
        <v>31</v>
      </c>
      <c r="I108">
        <v>53.800000000000011</v>
      </c>
      <c r="J108" t="s">
        <v>106</v>
      </c>
      <c r="K108" t="s">
        <v>18</v>
      </c>
    </row>
    <row r="109" spans="1:11" x14ac:dyDescent="0.3">
      <c r="A109" t="s">
        <v>713</v>
      </c>
      <c r="B109" s="10">
        <v>44460</v>
      </c>
      <c r="C109" t="s">
        <v>10</v>
      </c>
      <c r="D109" s="9" t="s">
        <v>317</v>
      </c>
      <c r="E109" s="42" t="s">
        <v>318</v>
      </c>
      <c r="F109" s="42" t="s">
        <v>76</v>
      </c>
      <c r="G109" s="42">
        <v>7.9861111111111105E-2</v>
      </c>
      <c r="H109" s="12" t="s">
        <v>20</v>
      </c>
      <c r="I109">
        <v>17.25</v>
      </c>
      <c r="J109" t="s">
        <v>17</v>
      </c>
      <c r="K109" t="s">
        <v>18</v>
      </c>
    </row>
    <row r="110" spans="1:11" x14ac:dyDescent="0.3">
      <c r="A110" t="s">
        <v>714</v>
      </c>
      <c r="B110" s="10">
        <v>44433</v>
      </c>
      <c r="C110" t="s">
        <v>8</v>
      </c>
      <c r="D110" s="9" t="s">
        <v>319</v>
      </c>
      <c r="E110" s="42" t="s">
        <v>262</v>
      </c>
      <c r="F110" s="42" t="s">
        <v>320</v>
      </c>
      <c r="G110" s="42">
        <v>0.2590277777777778</v>
      </c>
      <c r="H110" s="12" t="s">
        <v>31</v>
      </c>
      <c r="I110">
        <v>93.25</v>
      </c>
      <c r="J110" t="s">
        <v>17</v>
      </c>
      <c r="K110" t="s">
        <v>18</v>
      </c>
    </row>
    <row r="111" spans="1:11" x14ac:dyDescent="0.3">
      <c r="A111" t="s">
        <v>715</v>
      </c>
      <c r="B111" s="10">
        <v>44415</v>
      </c>
      <c r="C111" t="s">
        <v>7</v>
      </c>
      <c r="D111" s="9" t="s">
        <v>321</v>
      </c>
      <c r="E111" s="42" t="s">
        <v>142</v>
      </c>
      <c r="F111" s="42" t="s">
        <v>322</v>
      </c>
      <c r="G111" s="42">
        <v>6.1111111111111172E-2</v>
      </c>
      <c r="H111" s="12" t="s">
        <v>31</v>
      </c>
      <c r="I111">
        <v>29.333333333333364</v>
      </c>
      <c r="J111" t="s">
        <v>42</v>
      </c>
      <c r="K111" t="s">
        <v>18</v>
      </c>
    </row>
    <row r="112" spans="1:11" x14ac:dyDescent="0.3">
      <c r="A112" t="s">
        <v>716</v>
      </c>
      <c r="B112" s="10">
        <v>44429</v>
      </c>
      <c r="C112" t="s">
        <v>10</v>
      </c>
      <c r="D112" s="9" t="s">
        <v>323</v>
      </c>
      <c r="E112" s="42" t="s">
        <v>324</v>
      </c>
      <c r="F112" s="42" t="s">
        <v>115</v>
      </c>
      <c r="G112" s="42">
        <v>0.2194444444444445</v>
      </c>
      <c r="H112" s="12" t="s">
        <v>31</v>
      </c>
      <c r="I112">
        <v>47.400000000000006</v>
      </c>
      <c r="J112" t="s">
        <v>96</v>
      </c>
      <c r="K112" t="s">
        <v>18</v>
      </c>
    </row>
    <row r="113" spans="1:11" x14ac:dyDescent="0.3">
      <c r="A113" t="s">
        <v>717</v>
      </c>
      <c r="B113" s="10">
        <v>44454</v>
      </c>
      <c r="C113" t="s">
        <v>8</v>
      </c>
      <c r="D113" s="9" t="s">
        <v>325</v>
      </c>
      <c r="E113" s="42" t="s">
        <v>326</v>
      </c>
      <c r="F113" s="42" t="s">
        <v>209</v>
      </c>
      <c r="G113" s="42">
        <v>0.15069444444444441</v>
      </c>
      <c r="H113" s="12" t="s">
        <v>20</v>
      </c>
      <c r="I113">
        <v>54.249999999999986</v>
      </c>
      <c r="J113" t="s">
        <v>17</v>
      </c>
      <c r="K113" t="s">
        <v>18</v>
      </c>
    </row>
    <row r="114" spans="1:11" x14ac:dyDescent="0.3">
      <c r="A114" t="s">
        <v>718</v>
      </c>
      <c r="B114" s="10">
        <v>44367</v>
      </c>
      <c r="C114" t="s">
        <v>8</v>
      </c>
      <c r="D114" s="9" t="s">
        <v>327</v>
      </c>
      <c r="E114" s="42" t="s">
        <v>305</v>
      </c>
      <c r="F114" s="42" t="s">
        <v>34</v>
      </c>
      <c r="G114" s="42">
        <v>0.20833333333333331</v>
      </c>
      <c r="H114" s="12" t="s">
        <v>20</v>
      </c>
      <c r="I114">
        <v>75</v>
      </c>
      <c r="J114" t="s">
        <v>57</v>
      </c>
      <c r="K114" t="s">
        <v>18</v>
      </c>
    </row>
    <row r="115" spans="1:11" x14ac:dyDescent="0.3">
      <c r="A115" t="s">
        <v>719</v>
      </c>
      <c r="B115" s="10">
        <v>44392</v>
      </c>
      <c r="C115" t="s">
        <v>7</v>
      </c>
      <c r="D115" s="9" t="s">
        <v>328</v>
      </c>
      <c r="E115" s="42" t="s">
        <v>329</v>
      </c>
      <c r="F115" s="42" t="s">
        <v>330</v>
      </c>
      <c r="G115" s="42">
        <v>0.22291666666666665</v>
      </c>
      <c r="H115" s="12" t="s">
        <v>31</v>
      </c>
      <c r="I115">
        <v>107</v>
      </c>
      <c r="J115" t="s">
        <v>64</v>
      </c>
      <c r="K115" t="s">
        <v>18</v>
      </c>
    </row>
    <row r="116" spans="1:11" x14ac:dyDescent="0.3">
      <c r="A116" t="s">
        <v>720</v>
      </c>
      <c r="B116" s="10">
        <v>44456</v>
      </c>
      <c r="C116" t="s">
        <v>8</v>
      </c>
      <c r="D116" s="9" t="s">
        <v>331</v>
      </c>
      <c r="E116" s="42" t="s">
        <v>332</v>
      </c>
      <c r="F116" s="42" t="s">
        <v>333</v>
      </c>
      <c r="G116" s="42">
        <v>0.30208333333333331</v>
      </c>
      <c r="H116" s="12" t="s">
        <v>20</v>
      </c>
      <c r="I116">
        <v>108.75</v>
      </c>
      <c r="J116" t="s">
        <v>24</v>
      </c>
      <c r="K116" t="s">
        <v>18</v>
      </c>
    </row>
    <row r="117" spans="1:11" x14ac:dyDescent="0.3">
      <c r="A117" t="s">
        <v>721</v>
      </c>
      <c r="B117" s="10">
        <v>44363</v>
      </c>
      <c r="C117" t="s">
        <v>9</v>
      </c>
      <c r="D117" s="9" t="s">
        <v>334</v>
      </c>
      <c r="E117" s="42" t="s">
        <v>335</v>
      </c>
      <c r="F117" s="42" t="s">
        <v>196</v>
      </c>
      <c r="G117" s="42">
        <v>0.21597222222222223</v>
      </c>
      <c r="H117" s="12" t="s">
        <v>20</v>
      </c>
      <c r="I117">
        <v>62.2</v>
      </c>
      <c r="J117" t="s">
        <v>42</v>
      </c>
      <c r="K117" t="s">
        <v>18</v>
      </c>
    </row>
    <row r="118" spans="1:11" x14ac:dyDescent="0.3">
      <c r="A118" t="s">
        <v>722</v>
      </c>
      <c r="B118" s="10">
        <v>44354</v>
      </c>
      <c r="C118" t="s">
        <v>9</v>
      </c>
      <c r="D118" s="9" t="s">
        <v>336</v>
      </c>
      <c r="E118" s="42" t="s">
        <v>337</v>
      </c>
      <c r="F118" s="42" t="s">
        <v>260</v>
      </c>
      <c r="G118" s="42">
        <v>0.19097222222222215</v>
      </c>
      <c r="H118" s="12" t="s">
        <v>31</v>
      </c>
      <c r="I118">
        <v>54.999999999999986</v>
      </c>
      <c r="J118" t="s">
        <v>106</v>
      </c>
      <c r="K118" t="s">
        <v>18</v>
      </c>
    </row>
    <row r="119" spans="1:11" x14ac:dyDescent="0.3">
      <c r="A119" t="s">
        <v>723</v>
      </c>
      <c r="B119" s="10">
        <v>44437</v>
      </c>
      <c r="C119" t="s">
        <v>7</v>
      </c>
      <c r="D119" s="9" t="s">
        <v>338</v>
      </c>
      <c r="E119" s="42" t="s">
        <v>339</v>
      </c>
      <c r="F119" s="42" t="s">
        <v>340</v>
      </c>
      <c r="G119" s="42">
        <v>0.17083333333333334</v>
      </c>
      <c r="H119" s="12" t="s">
        <v>31</v>
      </c>
      <c r="I119">
        <v>82</v>
      </c>
      <c r="J119" t="s">
        <v>49</v>
      </c>
      <c r="K119" t="s">
        <v>18</v>
      </c>
    </row>
    <row r="120" spans="1:11" x14ac:dyDescent="0.3">
      <c r="A120" t="s">
        <v>724</v>
      </c>
      <c r="B120" s="10">
        <v>44406</v>
      </c>
      <c r="C120" t="s">
        <v>8</v>
      </c>
      <c r="D120" s="9" t="s">
        <v>341</v>
      </c>
      <c r="E120" s="42" t="s">
        <v>342</v>
      </c>
      <c r="F120" s="42" t="s">
        <v>76</v>
      </c>
      <c r="G120" s="42">
        <v>0.17708333333333337</v>
      </c>
      <c r="H120" s="12" t="s">
        <v>20</v>
      </c>
      <c r="I120">
        <v>63.750000000000014</v>
      </c>
      <c r="J120" t="s">
        <v>117</v>
      </c>
      <c r="K120" t="s">
        <v>18</v>
      </c>
    </row>
    <row r="121" spans="1:11" x14ac:dyDescent="0.3">
      <c r="A121" t="s">
        <v>725</v>
      </c>
      <c r="B121" s="10">
        <v>44458</v>
      </c>
      <c r="C121" t="s">
        <v>8</v>
      </c>
      <c r="D121" s="9" t="s">
        <v>343</v>
      </c>
      <c r="E121" s="42" t="s">
        <v>284</v>
      </c>
      <c r="F121" s="42" t="s">
        <v>344</v>
      </c>
      <c r="G121" s="42">
        <v>0.11666666666666675</v>
      </c>
      <c r="H121" s="12" t="s">
        <v>20</v>
      </c>
      <c r="I121">
        <v>42.000000000000028</v>
      </c>
      <c r="J121" t="s">
        <v>106</v>
      </c>
      <c r="K121" t="s">
        <v>18</v>
      </c>
    </row>
    <row r="122" spans="1:11" x14ac:dyDescent="0.3">
      <c r="A122" t="s">
        <v>726</v>
      </c>
      <c r="B122" s="10">
        <v>44430</v>
      </c>
      <c r="C122" t="s">
        <v>9</v>
      </c>
      <c r="D122" s="9" t="s">
        <v>345</v>
      </c>
      <c r="E122" s="42" t="s">
        <v>346</v>
      </c>
      <c r="F122" s="42" t="s">
        <v>347</v>
      </c>
      <c r="G122" s="42">
        <v>0.15972222222222221</v>
      </c>
      <c r="H122" s="12" t="s">
        <v>31</v>
      </c>
      <c r="I122">
        <v>46</v>
      </c>
      <c r="J122" t="s">
        <v>53</v>
      </c>
      <c r="K122" t="s">
        <v>18</v>
      </c>
    </row>
    <row r="123" spans="1:11" x14ac:dyDescent="0.3">
      <c r="A123" t="s">
        <v>727</v>
      </c>
      <c r="B123" s="10">
        <v>44418</v>
      </c>
      <c r="C123" t="s">
        <v>10</v>
      </c>
      <c r="D123" s="9" t="s">
        <v>348</v>
      </c>
      <c r="E123" s="42" t="s">
        <v>349</v>
      </c>
      <c r="F123" s="42" t="s">
        <v>350</v>
      </c>
      <c r="G123" s="42">
        <v>0.31736111111111104</v>
      </c>
      <c r="H123" s="12" t="s">
        <v>31</v>
      </c>
      <c r="I123">
        <v>68.549999999999983</v>
      </c>
      <c r="J123" t="s">
        <v>17</v>
      </c>
      <c r="K123" t="s">
        <v>18</v>
      </c>
    </row>
    <row r="124" spans="1:11" x14ac:dyDescent="0.3">
      <c r="A124" t="s">
        <v>728</v>
      </c>
      <c r="B124" s="10">
        <v>44436</v>
      </c>
      <c r="C124" t="s">
        <v>9</v>
      </c>
      <c r="D124" s="9" t="s">
        <v>351</v>
      </c>
      <c r="E124" s="42" t="s">
        <v>352</v>
      </c>
      <c r="F124" s="42" t="s">
        <v>145</v>
      </c>
      <c r="G124" s="42">
        <v>0.20138888888888895</v>
      </c>
      <c r="H124" s="12" t="s">
        <v>20</v>
      </c>
      <c r="I124">
        <v>58.000000000000014</v>
      </c>
      <c r="J124" t="s">
        <v>96</v>
      </c>
      <c r="K124" t="s">
        <v>18</v>
      </c>
    </row>
    <row r="125" spans="1:11" x14ac:dyDescent="0.3">
      <c r="A125" t="s">
        <v>729</v>
      </c>
      <c r="B125" s="10">
        <v>44428</v>
      </c>
      <c r="C125" t="s">
        <v>7</v>
      </c>
      <c r="D125" s="9" t="s">
        <v>353</v>
      </c>
      <c r="E125" s="42" t="s">
        <v>159</v>
      </c>
      <c r="F125" s="42" t="s">
        <v>354</v>
      </c>
      <c r="G125" s="42">
        <v>0.19027777777777771</v>
      </c>
      <c r="H125" s="12" t="s">
        <v>20</v>
      </c>
      <c r="I125">
        <v>91.333333333333286</v>
      </c>
      <c r="J125" t="s">
        <v>77</v>
      </c>
      <c r="K125" t="s">
        <v>18</v>
      </c>
    </row>
    <row r="126" spans="1:11" x14ac:dyDescent="0.3">
      <c r="A126" t="s">
        <v>730</v>
      </c>
      <c r="B126" s="10">
        <v>44456</v>
      </c>
      <c r="C126" t="s">
        <v>10</v>
      </c>
      <c r="D126" s="9" t="s">
        <v>355</v>
      </c>
      <c r="E126" s="42" t="s">
        <v>356</v>
      </c>
      <c r="F126" s="42" t="s">
        <v>357</v>
      </c>
      <c r="G126" s="42">
        <v>0.28125</v>
      </c>
      <c r="H126" s="12" t="s">
        <v>20</v>
      </c>
      <c r="I126">
        <v>60.75</v>
      </c>
      <c r="J126" t="s">
        <v>77</v>
      </c>
      <c r="K126" t="s">
        <v>18</v>
      </c>
    </row>
    <row r="127" spans="1:11" x14ac:dyDescent="0.3">
      <c r="A127" t="s">
        <v>731</v>
      </c>
      <c r="B127" s="10">
        <v>44367</v>
      </c>
      <c r="C127" t="s">
        <v>9</v>
      </c>
      <c r="D127" s="9" t="s">
        <v>358</v>
      </c>
      <c r="E127" s="42" t="s">
        <v>26</v>
      </c>
      <c r="F127" s="42" t="s">
        <v>201</v>
      </c>
      <c r="G127" s="42">
        <v>0.18611111111111117</v>
      </c>
      <c r="H127" s="12" t="s">
        <v>31</v>
      </c>
      <c r="I127">
        <v>53.600000000000023</v>
      </c>
      <c r="J127" t="s">
        <v>117</v>
      </c>
      <c r="K127" t="s">
        <v>18</v>
      </c>
    </row>
    <row r="128" spans="1:11" x14ac:dyDescent="0.3">
      <c r="A128" t="s">
        <v>732</v>
      </c>
      <c r="B128" s="10">
        <v>44407</v>
      </c>
      <c r="C128" t="s">
        <v>10</v>
      </c>
      <c r="D128" s="9" t="s">
        <v>359</v>
      </c>
      <c r="E128" s="42" t="s">
        <v>360</v>
      </c>
      <c r="F128" s="42" t="s">
        <v>253</v>
      </c>
      <c r="G128" s="42">
        <v>0.24374999999999997</v>
      </c>
      <c r="H128" s="12" t="s">
        <v>20</v>
      </c>
      <c r="I128">
        <v>52.65</v>
      </c>
      <c r="J128" t="s">
        <v>96</v>
      </c>
      <c r="K128" t="s">
        <v>18</v>
      </c>
    </row>
    <row r="129" spans="1:11" x14ac:dyDescent="0.3">
      <c r="A129" t="s">
        <v>733</v>
      </c>
      <c r="B129" s="10">
        <v>44385</v>
      </c>
      <c r="C129" t="s">
        <v>10</v>
      </c>
      <c r="D129" s="9" t="s">
        <v>361</v>
      </c>
      <c r="E129" s="42" t="s">
        <v>362</v>
      </c>
      <c r="F129" s="42" t="s">
        <v>363</v>
      </c>
      <c r="G129" s="42">
        <v>0.1569444444444445</v>
      </c>
      <c r="H129" s="12" t="s">
        <v>20</v>
      </c>
      <c r="I129">
        <v>33.900000000000013</v>
      </c>
      <c r="J129" t="s">
        <v>90</v>
      </c>
      <c r="K129" t="s">
        <v>18</v>
      </c>
    </row>
    <row r="130" spans="1:11" x14ac:dyDescent="0.3">
      <c r="A130" t="s">
        <v>734</v>
      </c>
      <c r="B130" s="10">
        <v>44393</v>
      </c>
      <c r="C130" t="s">
        <v>10</v>
      </c>
      <c r="D130" s="9" t="s">
        <v>364</v>
      </c>
      <c r="E130" s="42" t="s">
        <v>365</v>
      </c>
      <c r="F130" s="42" t="s">
        <v>299</v>
      </c>
      <c r="G130" s="42">
        <v>0.23055555555555557</v>
      </c>
      <c r="H130" s="12" t="s">
        <v>20</v>
      </c>
      <c r="I130">
        <v>49.8</v>
      </c>
      <c r="J130" t="s">
        <v>24</v>
      </c>
      <c r="K130" t="s">
        <v>18</v>
      </c>
    </row>
    <row r="131" spans="1:11" x14ac:dyDescent="0.3">
      <c r="A131" t="s">
        <v>735</v>
      </c>
      <c r="B131" s="10">
        <v>44419</v>
      </c>
      <c r="C131" t="s">
        <v>7</v>
      </c>
      <c r="D131" s="9" t="s">
        <v>366</v>
      </c>
      <c r="E131" s="42" t="s">
        <v>365</v>
      </c>
      <c r="F131" s="42" t="s">
        <v>367</v>
      </c>
      <c r="G131" s="42">
        <v>0.27638888888888885</v>
      </c>
      <c r="H131" s="12" t="s">
        <v>31</v>
      </c>
      <c r="I131">
        <v>132.66666666666666</v>
      </c>
      <c r="J131" t="s">
        <v>106</v>
      </c>
      <c r="K131" t="s">
        <v>18</v>
      </c>
    </row>
    <row r="132" spans="1:11" x14ac:dyDescent="0.3">
      <c r="A132" t="s">
        <v>736</v>
      </c>
      <c r="B132" s="10">
        <v>44360</v>
      </c>
      <c r="C132" t="s">
        <v>9</v>
      </c>
      <c r="D132" s="9" t="s">
        <v>368</v>
      </c>
      <c r="E132" s="42" t="s">
        <v>369</v>
      </c>
      <c r="F132" s="42" t="s">
        <v>181</v>
      </c>
      <c r="G132" s="42">
        <v>0.10833333333333334</v>
      </c>
      <c r="H132" s="12" t="s">
        <v>31</v>
      </c>
      <c r="I132">
        <v>31.200000000000003</v>
      </c>
      <c r="J132" t="s">
        <v>117</v>
      </c>
      <c r="K132" t="s">
        <v>18</v>
      </c>
    </row>
    <row r="133" spans="1:11" x14ac:dyDescent="0.3">
      <c r="A133" t="s">
        <v>737</v>
      </c>
      <c r="B133" s="10">
        <v>44350</v>
      </c>
      <c r="C133" t="s">
        <v>8</v>
      </c>
      <c r="D133" s="9" t="s">
        <v>370</v>
      </c>
      <c r="E133" s="42" t="s">
        <v>82</v>
      </c>
      <c r="F133" s="42" t="s">
        <v>371</v>
      </c>
      <c r="G133" s="42">
        <v>0.32152777777777786</v>
      </c>
      <c r="H133" s="12" t="s">
        <v>31</v>
      </c>
      <c r="I133">
        <v>115.75000000000003</v>
      </c>
      <c r="J133" t="s">
        <v>35</v>
      </c>
      <c r="K133" t="s">
        <v>18</v>
      </c>
    </row>
    <row r="134" spans="1:11" x14ac:dyDescent="0.3">
      <c r="A134" t="s">
        <v>738</v>
      </c>
      <c r="B134" s="10">
        <v>44424</v>
      </c>
      <c r="C134" t="s">
        <v>8</v>
      </c>
      <c r="D134" s="9" t="s">
        <v>372</v>
      </c>
      <c r="E134" s="42" t="s">
        <v>75</v>
      </c>
      <c r="F134" s="42" t="s">
        <v>373</v>
      </c>
      <c r="G134" s="42">
        <v>0.2229166666666666</v>
      </c>
      <c r="H134" s="12" t="s">
        <v>31</v>
      </c>
      <c r="I134">
        <v>80.249999999999972</v>
      </c>
      <c r="J134" t="s">
        <v>53</v>
      </c>
      <c r="K134" t="s">
        <v>18</v>
      </c>
    </row>
    <row r="135" spans="1:11" x14ac:dyDescent="0.3">
      <c r="A135" t="s">
        <v>739</v>
      </c>
      <c r="B135" s="10">
        <v>44406</v>
      </c>
      <c r="C135" t="s">
        <v>7</v>
      </c>
      <c r="D135" s="9" t="s">
        <v>374</v>
      </c>
      <c r="E135" s="42" t="s">
        <v>375</v>
      </c>
      <c r="F135" s="42" t="s">
        <v>347</v>
      </c>
      <c r="G135" s="42">
        <v>0.29722222222222217</v>
      </c>
      <c r="H135" s="12" t="s">
        <v>31</v>
      </c>
      <c r="I135">
        <v>142.66666666666663</v>
      </c>
      <c r="J135" t="s">
        <v>57</v>
      </c>
      <c r="K135" t="s">
        <v>18</v>
      </c>
    </row>
    <row r="136" spans="1:11" x14ac:dyDescent="0.3">
      <c r="A136" t="s">
        <v>740</v>
      </c>
      <c r="B136" s="10">
        <v>44375</v>
      </c>
      <c r="C136" t="s">
        <v>8</v>
      </c>
      <c r="D136" s="9" t="s">
        <v>376</v>
      </c>
      <c r="E136" s="42" t="s">
        <v>377</v>
      </c>
      <c r="F136" s="42" t="s">
        <v>209</v>
      </c>
      <c r="G136" s="42">
        <v>0.16666666666666669</v>
      </c>
      <c r="H136" s="12" t="s">
        <v>20</v>
      </c>
      <c r="I136">
        <v>60</v>
      </c>
      <c r="J136" t="s">
        <v>96</v>
      </c>
      <c r="K136" t="s">
        <v>18</v>
      </c>
    </row>
    <row r="137" spans="1:11" x14ac:dyDescent="0.3">
      <c r="A137" t="s">
        <v>741</v>
      </c>
      <c r="B137" s="10">
        <v>44463</v>
      </c>
      <c r="C137" t="s">
        <v>10</v>
      </c>
      <c r="D137" s="9" t="s">
        <v>378</v>
      </c>
      <c r="E137" s="42" t="s">
        <v>92</v>
      </c>
      <c r="F137" s="42" t="s">
        <v>379</v>
      </c>
      <c r="G137" s="42">
        <v>0.12916666666666665</v>
      </c>
      <c r="H137" s="12" t="s">
        <v>31</v>
      </c>
      <c r="I137">
        <v>27.9</v>
      </c>
      <c r="J137" t="s">
        <v>96</v>
      </c>
      <c r="K137" t="s">
        <v>18</v>
      </c>
    </row>
    <row r="138" spans="1:11" x14ac:dyDescent="0.3">
      <c r="A138" t="s">
        <v>742</v>
      </c>
      <c r="B138" s="10">
        <v>44437</v>
      </c>
      <c r="C138" t="s">
        <v>10</v>
      </c>
      <c r="D138" s="9" t="s">
        <v>380</v>
      </c>
      <c r="E138" s="42" t="s">
        <v>381</v>
      </c>
      <c r="F138" s="42" t="s">
        <v>105</v>
      </c>
      <c r="G138" s="42">
        <v>0.20138888888888878</v>
      </c>
      <c r="H138" s="12" t="s">
        <v>20</v>
      </c>
      <c r="I138">
        <v>43.499999999999972</v>
      </c>
      <c r="J138" t="s">
        <v>35</v>
      </c>
      <c r="K138" t="s">
        <v>18</v>
      </c>
    </row>
    <row r="139" spans="1:11" x14ac:dyDescent="0.3">
      <c r="A139" t="s">
        <v>743</v>
      </c>
      <c r="B139" s="10">
        <v>44382</v>
      </c>
      <c r="C139" t="s">
        <v>10</v>
      </c>
      <c r="D139" s="9" t="s">
        <v>382</v>
      </c>
      <c r="E139" s="42" t="s">
        <v>132</v>
      </c>
      <c r="F139" s="42" t="s">
        <v>383</v>
      </c>
      <c r="G139" s="42">
        <v>0.30069444444444443</v>
      </c>
      <c r="H139" s="12" t="s">
        <v>20</v>
      </c>
      <c r="I139">
        <v>64.95</v>
      </c>
      <c r="J139" t="s">
        <v>134</v>
      </c>
      <c r="K139" t="s">
        <v>18</v>
      </c>
    </row>
    <row r="140" spans="1:11" x14ac:dyDescent="0.3">
      <c r="A140" t="s">
        <v>744</v>
      </c>
      <c r="B140" s="10">
        <v>44431</v>
      </c>
      <c r="C140" t="s">
        <v>8</v>
      </c>
      <c r="D140" s="9" t="s">
        <v>384</v>
      </c>
      <c r="E140" s="42" t="s">
        <v>385</v>
      </c>
      <c r="F140" s="42" t="s">
        <v>386</v>
      </c>
      <c r="G140" s="42">
        <v>0.19305555555555554</v>
      </c>
      <c r="H140" s="12" t="s">
        <v>20</v>
      </c>
      <c r="I140">
        <v>69.5</v>
      </c>
      <c r="J140" t="s">
        <v>117</v>
      </c>
      <c r="K140" t="s">
        <v>18</v>
      </c>
    </row>
    <row r="141" spans="1:11" x14ac:dyDescent="0.3">
      <c r="A141" t="s">
        <v>745</v>
      </c>
      <c r="B141" s="10">
        <v>44352</v>
      </c>
      <c r="C141" t="s">
        <v>8</v>
      </c>
      <c r="D141" s="9" t="s">
        <v>387</v>
      </c>
      <c r="E141" s="42" t="s">
        <v>48</v>
      </c>
      <c r="F141" s="42" t="s">
        <v>388</v>
      </c>
      <c r="G141" s="42">
        <v>8.4027777777777757E-2</v>
      </c>
      <c r="H141" s="12" t="s">
        <v>20</v>
      </c>
      <c r="I141">
        <v>30.249999999999993</v>
      </c>
      <c r="J141" t="s">
        <v>90</v>
      </c>
      <c r="K141" t="s">
        <v>18</v>
      </c>
    </row>
    <row r="142" spans="1:11" x14ac:dyDescent="0.3">
      <c r="A142" t="s">
        <v>746</v>
      </c>
      <c r="B142" s="10">
        <v>44413</v>
      </c>
      <c r="C142" t="s">
        <v>10</v>
      </c>
      <c r="D142" s="9" t="s">
        <v>389</v>
      </c>
      <c r="E142" s="42" t="s">
        <v>85</v>
      </c>
      <c r="F142" s="42" t="s">
        <v>38</v>
      </c>
      <c r="G142" s="42">
        <v>0.1034722222222223</v>
      </c>
      <c r="H142" s="12" t="s">
        <v>31</v>
      </c>
      <c r="I142">
        <v>22.350000000000016</v>
      </c>
      <c r="J142" t="s">
        <v>17</v>
      </c>
      <c r="K142" t="s">
        <v>18</v>
      </c>
    </row>
    <row r="143" spans="1:11" x14ac:dyDescent="0.3">
      <c r="A143" t="s">
        <v>747</v>
      </c>
      <c r="B143" s="10">
        <v>44444</v>
      </c>
      <c r="C143" t="s">
        <v>8</v>
      </c>
      <c r="D143" s="9" t="s">
        <v>390</v>
      </c>
      <c r="E143" s="42" t="s">
        <v>365</v>
      </c>
      <c r="F143" s="42" t="s">
        <v>299</v>
      </c>
      <c r="G143" s="42">
        <v>0.23055555555555557</v>
      </c>
      <c r="H143" s="12" t="s">
        <v>31</v>
      </c>
      <c r="I143">
        <v>83</v>
      </c>
      <c r="J143" t="s">
        <v>49</v>
      </c>
      <c r="K143" t="s">
        <v>18</v>
      </c>
    </row>
    <row r="144" spans="1:11" x14ac:dyDescent="0.3">
      <c r="A144" t="s">
        <v>748</v>
      </c>
      <c r="B144" s="10">
        <v>44428</v>
      </c>
      <c r="C144" t="s">
        <v>7</v>
      </c>
      <c r="D144" s="9" t="s">
        <v>391</v>
      </c>
      <c r="E144" s="42" t="s">
        <v>392</v>
      </c>
      <c r="F144" s="42" t="s">
        <v>393</v>
      </c>
      <c r="G144" s="42">
        <v>0.13541666666666669</v>
      </c>
      <c r="H144" s="12" t="s">
        <v>31</v>
      </c>
      <c r="I144">
        <v>65.000000000000014</v>
      </c>
      <c r="J144" t="s">
        <v>90</v>
      </c>
      <c r="K144" t="s">
        <v>18</v>
      </c>
    </row>
    <row r="145" spans="1:11" x14ac:dyDescent="0.3">
      <c r="A145" t="s">
        <v>749</v>
      </c>
      <c r="B145" s="10">
        <v>44407</v>
      </c>
      <c r="C145" t="s">
        <v>9</v>
      </c>
      <c r="D145" s="9" t="s">
        <v>394</v>
      </c>
      <c r="E145" s="42" t="s">
        <v>147</v>
      </c>
      <c r="F145" s="42" t="s">
        <v>395</v>
      </c>
      <c r="G145" s="42">
        <v>0.25624999999999998</v>
      </c>
      <c r="H145" s="12" t="s">
        <v>20</v>
      </c>
      <c r="I145">
        <v>73.8</v>
      </c>
      <c r="J145" t="s">
        <v>24</v>
      </c>
      <c r="K145" t="s">
        <v>18</v>
      </c>
    </row>
    <row r="146" spans="1:11" x14ac:dyDescent="0.3">
      <c r="A146" t="s">
        <v>750</v>
      </c>
      <c r="B146" s="10">
        <v>44403</v>
      </c>
      <c r="C146" t="s">
        <v>10</v>
      </c>
      <c r="D146" s="9" t="s">
        <v>396</v>
      </c>
      <c r="E146" s="42" t="s">
        <v>262</v>
      </c>
      <c r="F146" s="42" t="s">
        <v>397</v>
      </c>
      <c r="G146" s="42">
        <v>0.29861111111111122</v>
      </c>
      <c r="H146" s="12" t="s">
        <v>31</v>
      </c>
      <c r="I146">
        <v>64.500000000000028</v>
      </c>
      <c r="J146" t="s">
        <v>24</v>
      </c>
      <c r="K146" t="s">
        <v>18</v>
      </c>
    </row>
    <row r="147" spans="1:11" x14ac:dyDescent="0.3">
      <c r="A147" t="s">
        <v>751</v>
      </c>
      <c r="B147" s="10">
        <v>44375</v>
      </c>
      <c r="C147" t="s">
        <v>10</v>
      </c>
      <c r="D147" s="9" t="s">
        <v>398</v>
      </c>
      <c r="E147" s="42" t="s">
        <v>249</v>
      </c>
      <c r="F147" s="42" t="s">
        <v>151</v>
      </c>
      <c r="G147" s="42">
        <v>0.13333333333333336</v>
      </c>
      <c r="H147" s="12" t="s">
        <v>31</v>
      </c>
      <c r="I147">
        <v>28.800000000000004</v>
      </c>
      <c r="J147" t="s">
        <v>96</v>
      </c>
      <c r="K147" t="s">
        <v>18</v>
      </c>
    </row>
    <row r="148" spans="1:11" x14ac:dyDescent="0.3">
      <c r="A148" t="s">
        <v>752</v>
      </c>
      <c r="B148" s="10">
        <v>44425</v>
      </c>
      <c r="C148" t="s">
        <v>8</v>
      </c>
      <c r="D148" s="9" t="s">
        <v>399</v>
      </c>
      <c r="E148" s="42" t="s">
        <v>329</v>
      </c>
      <c r="F148" s="42" t="s">
        <v>400</v>
      </c>
      <c r="G148" s="42">
        <v>0.21458333333333335</v>
      </c>
      <c r="H148" s="12" t="s">
        <v>20</v>
      </c>
      <c r="I148">
        <v>77.25</v>
      </c>
      <c r="J148" t="s">
        <v>17</v>
      </c>
      <c r="K148" t="s">
        <v>18</v>
      </c>
    </row>
    <row r="149" spans="1:11" x14ac:dyDescent="0.3">
      <c r="A149" t="s">
        <v>753</v>
      </c>
      <c r="B149" s="10">
        <v>44441</v>
      </c>
      <c r="C149" t="s">
        <v>9</v>
      </c>
      <c r="D149" s="9" t="s">
        <v>401</v>
      </c>
      <c r="E149" s="42" t="s">
        <v>40</v>
      </c>
      <c r="F149" s="42" t="s">
        <v>402</v>
      </c>
      <c r="G149" s="42">
        <v>0.20555555555555555</v>
      </c>
      <c r="H149" s="12" t="s">
        <v>31</v>
      </c>
      <c r="I149">
        <v>59.2</v>
      </c>
      <c r="J149" t="s">
        <v>77</v>
      </c>
      <c r="K149" t="s">
        <v>18</v>
      </c>
    </row>
    <row r="150" spans="1:11" x14ac:dyDescent="0.3">
      <c r="A150" t="s">
        <v>754</v>
      </c>
      <c r="B150" s="10">
        <v>44396</v>
      </c>
      <c r="C150" t="s">
        <v>10</v>
      </c>
      <c r="D150" s="9" t="s">
        <v>403</v>
      </c>
      <c r="E150" s="42" t="s">
        <v>404</v>
      </c>
      <c r="F150" s="42" t="s">
        <v>405</v>
      </c>
      <c r="G150" s="42">
        <v>0.14930555555555547</v>
      </c>
      <c r="H150" s="12" t="s">
        <v>20</v>
      </c>
      <c r="I150">
        <v>32.249999999999979</v>
      </c>
      <c r="J150" t="s">
        <v>46</v>
      </c>
      <c r="K150" t="s">
        <v>18</v>
      </c>
    </row>
    <row r="151" spans="1:11" x14ac:dyDescent="0.3">
      <c r="A151" t="s">
        <v>755</v>
      </c>
      <c r="B151" s="10">
        <v>44411</v>
      </c>
      <c r="C151" t="s">
        <v>10</v>
      </c>
      <c r="D151" s="9" t="s">
        <v>406</v>
      </c>
      <c r="E151" s="42" t="s">
        <v>92</v>
      </c>
      <c r="F151" s="42" t="s">
        <v>407</v>
      </c>
      <c r="G151" s="42">
        <v>9.6527777777777768E-2</v>
      </c>
      <c r="H151" s="12" t="s">
        <v>31</v>
      </c>
      <c r="I151">
        <v>20.849999999999998</v>
      </c>
      <c r="J151" t="s">
        <v>64</v>
      </c>
      <c r="K151" t="s">
        <v>18</v>
      </c>
    </row>
    <row r="152" spans="1:11" x14ac:dyDescent="0.3">
      <c r="A152" t="s">
        <v>756</v>
      </c>
      <c r="B152" s="10">
        <v>44374</v>
      </c>
      <c r="C152" t="s">
        <v>9</v>
      </c>
      <c r="D152" s="9" t="s">
        <v>408</v>
      </c>
      <c r="E152" s="42" t="s">
        <v>192</v>
      </c>
      <c r="F152" s="42" t="s">
        <v>409</v>
      </c>
      <c r="G152" s="42">
        <v>0.11874999999999997</v>
      </c>
      <c r="H152" s="12" t="s">
        <v>20</v>
      </c>
      <c r="I152">
        <v>34.199999999999989</v>
      </c>
      <c r="J152" t="s">
        <v>49</v>
      </c>
      <c r="K152" t="s">
        <v>18</v>
      </c>
    </row>
    <row r="153" spans="1:11" x14ac:dyDescent="0.3">
      <c r="A153" t="s">
        <v>757</v>
      </c>
      <c r="B153" s="10">
        <v>44397</v>
      </c>
      <c r="C153" t="s">
        <v>7</v>
      </c>
      <c r="D153" s="9" t="s">
        <v>410</v>
      </c>
      <c r="E153" s="42" t="s">
        <v>411</v>
      </c>
      <c r="F153" s="42" t="s">
        <v>412</v>
      </c>
      <c r="G153" s="42">
        <v>0.20069444444444445</v>
      </c>
      <c r="H153" s="12" t="s">
        <v>31</v>
      </c>
      <c r="I153">
        <v>96.333333333333329</v>
      </c>
      <c r="J153" t="s">
        <v>117</v>
      </c>
      <c r="K153" t="s">
        <v>18</v>
      </c>
    </row>
    <row r="154" spans="1:11" x14ac:dyDescent="0.3">
      <c r="A154" t="s">
        <v>758</v>
      </c>
      <c r="B154" s="10">
        <v>44399</v>
      </c>
      <c r="C154" t="s">
        <v>9</v>
      </c>
      <c r="D154" s="9" t="s">
        <v>413</v>
      </c>
      <c r="E154" s="42" t="s">
        <v>414</v>
      </c>
      <c r="F154" s="42" t="s">
        <v>166</v>
      </c>
      <c r="G154" s="42">
        <v>0.11875000000000008</v>
      </c>
      <c r="H154" s="12" t="s">
        <v>20</v>
      </c>
      <c r="I154">
        <v>34.200000000000024</v>
      </c>
      <c r="J154" t="s">
        <v>57</v>
      </c>
      <c r="K154" t="s">
        <v>18</v>
      </c>
    </row>
    <row r="155" spans="1:11" x14ac:dyDescent="0.3">
      <c r="A155" t="s">
        <v>759</v>
      </c>
      <c r="B155" s="10">
        <v>44380</v>
      </c>
      <c r="C155" t="s">
        <v>8</v>
      </c>
      <c r="D155" s="9" t="s">
        <v>415</v>
      </c>
      <c r="E155" s="42" t="s">
        <v>309</v>
      </c>
      <c r="F155" s="42" t="s">
        <v>187</v>
      </c>
      <c r="G155" s="42">
        <v>0.23541666666666666</v>
      </c>
      <c r="H155" s="12" t="s">
        <v>20</v>
      </c>
      <c r="I155">
        <v>84.75</v>
      </c>
      <c r="J155" t="s">
        <v>24</v>
      </c>
      <c r="K155" t="s">
        <v>18</v>
      </c>
    </row>
    <row r="156" spans="1:11" x14ac:dyDescent="0.3">
      <c r="A156" t="s">
        <v>760</v>
      </c>
      <c r="B156" s="10">
        <v>44457</v>
      </c>
      <c r="C156" t="s">
        <v>7</v>
      </c>
      <c r="D156" s="9" t="s">
        <v>416</v>
      </c>
      <c r="E156" s="42" t="s">
        <v>414</v>
      </c>
      <c r="F156" s="42" t="s">
        <v>120</v>
      </c>
      <c r="G156" s="42">
        <v>0.26666666666666666</v>
      </c>
      <c r="H156" s="12" t="s">
        <v>31</v>
      </c>
      <c r="I156">
        <v>128</v>
      </c>
      <c r="J156" t="s">
        <v>46</v>
      </c>
      <c r="K156" t="s">
        <v>18</v>
      </c>
    </row>
    <row r="157" spans="1:11" x14ac:dyDescent="0.3">
      <c r="A157" t="s">
        <v>761</v>
      </c>
      <c r="B157" s="10">
        <v>44460</v>
      </c>
      <c r="C157" t="s">
        <v>9</v>
      </c>
      <c r="D157" s="9" t="s">
        <v>417</v>
      </c>
      <c r="E157" s="42" t="s">
        <v>418</v>
      </c>
      <c r="F157" s="42" t="s">
        <v>419</v>
      </c>
      <c r="G157" s="42">
        <v>0.10902777777777778</v>
      </c>
      <c r="H157" s="12" t="s">
        <v>20</v>
      </c>
      <c r="I157">
        <v>31.4</v>
      </c>
      <c r="J157" t="s">
        <v>64</v>
      </c>
      <c r="K157" t="s">
        <v>18</v>
      </c>
    </row>
    <row r="158" spans="1:11" x14ac:dyDescent="0.3">
      <c r="A158" t="s">
        <v>762</v>
      </c>
      <c r="B158" s="10">
        <v>44363</v>
      </c>
      <c r="C158" t="s">
        <v>10</v>
      </c>
      <c r="D158" s="9" t="s">
        <v>420</v>
      </c>
      <c r="E158" s="42" t="s">
        <v>421</v>
      </c>
      <c r="F158" s="42" t="s">
        <v>137</v>
      </c>
      <c r="G158" s="42">
        <v>7.152777777777769E-2</v>
      </c>
      <c r="H158" s="12" t="s">
        <v>20</v>
      </c>
      <c r="I158">
        <v>15.449999999999982</v>
      </c>
      <c r="J158" t="s">
        <v>46</v>
      </c>
      <c r="K158" t="s">
        <v>18</v>
      </c>
    </row>
    <row r="159" spans="1:11" x14ac:dyDescent="0.3">
      <c r="A159" t="s">
        <v>763</v>
      </c>
      <c r="B159" s="10">
        <v>44462</v>
      </c>
      <c r="C159" t="s">
        <v>8</v>
      </c>
      <c r="D159" s="9" t="s">
        <v>422</v>
      </c>
      <c r="E159" s="42" t="s">
        <v>423</v>
      </c>
      <c r="F159" s="42" t="s">
        <v>350</v>
      </c>
      <c r="G159" s="42">
        <v>0.26874999999999993</v>
      </c>
      <c r="H159" s="12" t="s">
        <v>31</v>
      </c>
      <c r="I159">
        <v>96.749999999999972</v>
      </c>
      <c r="J159" t="s">
        <v>35</v>
      </c>
      <c r="K159" t="s">
        <v>18</v>
      </c>
    </row>
    <row r="160" spans="1:11" x14ac:dyDescent="0.3">
      <c r="A160" t="s">
        <v>764</v>
      </c>
      <c r="B160" s="10">
        <v>44409</v>
      </c>
      <c r="C160" t="s">
        <v>10</v>
      </c>
      <c r="D160" s="9" t="s">
        <v>424</v>
      </c>
      <c r="E160" s="42" t="s">
        <v>425</v>
      </c>
      <c r="F160" s="42" t="s">
        <v>199</v>
      </c>
      <c r="G160" s="42">
        <v>6.6666666666666596E-2</v>
      </c>
      <c r="H160" s="12" t="s">
        <v>31</v>
      </c>
      <c r="I160">
        <v>14.399999999999984</v>
      </c>
      <c r="J160" t="s">
        <v>57</v>
      </c>
      <c r="K160" t="s">
        <v>18</v>
      </c>
    </row>
    <row r="161" spans="1:11" x14ac:dyDescent="0.3">
      <c r="A161" t="s">
        <v>765</v>
      </c>
      <c r="B161" s="10">
        <v>44399</v>
      </c>
      <c r="C161" t="s">
        <v>10</v>
      </c>
      <c r="D161" s="9" t="s">
        <v>426</v>
      </c>
      <c r="E161" s="42" t="s">
        <v>427</v>
      </c>
      <c r="F161" s="42" t="s">
        <v>379</v>
      </c>
      <c r="G161" s="42">
        <v>0.1020833333333333</v>
      </c>
      <c r="H161" s="12" t="s">
        <v>31</v>
      </c>
      <c r="I161">
        <v>22.049999999999994</v>
      </c>
      <c r="J161" t="s">
        <v>90</v>
      </c>
      <c r="K161" t="s">
        <v>18</v>
      </c>
    </row>
    <row r="162" spans="1:11" x14ac:dyDescent="0.3">
      <c r="A162" t="s">
        <v>766</v>
      </c>
      <c r="B162" s="10">
        <v>44409</v>
      </c>
      <c r="C162" t="s">
        <v>8</v>
      </c>
      <c r="D162" s="9" t="s">
        <v>428</v>
      </c>
      <c r="E162" s="42" t="s">
        <v>429</v>
      </c>
      <c r="F162" s="42" t="s">
        <v>367</v>
      </c>
      <c r="G162" s="42">
        <v>0.2638888888888889</v>
      </c>
      <c r="H162" s="12" t="s">
        <v>20</v>
      </c>
      <c r="I162">
        <v>95.000000000000014</v>
      </c>
      <c r="J162" t="s">
        <v>64</v>
      </c>
      <c r="K162" t="s">
        <v>18</v>
      </c>
    </row>
    <row r="163" spans="1:11" x14ac:dyDescent="0.3">
      <c r="A163" t="s">
        <v>767</v>
      </c>
      <c r="B163" s="10">
        <v>44378</v>
      </c>
      <c r="C163" t="s">
        <v>8</v>
      </c>
      <c r="D163" s="9" t="s">
        <v>430</v>
      </c>
      <c r="E163" s="42" t="s">
        <v>431</v>
      </c>
      <c r="F163" s="42" t="s">
        <v>432</v>
      </c>
      <c r="G163" s="42">
        <v>0.31736111111111109</v>
      </c>
      <c r="H163" s="12" t="s">
        <v>31</v>
      </c>
      <c r="I163">
        <v>114.25</v>
      </c>
      <c r="J163" t="s">
        <v>49</v>
      </c>
      <c r="K163" t="s">
        <v>18</v>
      </c>
    </row>
    <row r="164" spans="1:11" x14ac:dyDescent="0.3">
      <c r="A164" t="s">
        <v>768</v>
      </c>
      <c r="B164" s="10">
        <v>44419</v>
      </c>
      <c r="C164" t="s">
        <v>7</v>
      </c>
      <c r="D164" s="9" t="s">
        <v>433</v>
      </c>
      <c r="E164" s="42" t="s">
        <v>434</v>
      </c>
      <c r="F164" s="42" t="s">
        <v>435</v>
      </c>
      <c r="G164" s="42">
        <v>9.166666666666673E-2</v>
      </c>
      <c r="H164" s="12" t="s">
        <v>31</v>
      </c>
      <c r="I164">
        <v>44.000000000000028</v>
      </c>
      <c r="J164" t="s">
        <v>49</v>
      </c>
      <c r="K164" t="s">
        <v>18</v>
      </c>
    </row>
    <row r="165" spans="1:11" x14ac:dyDescent="0.3">
      <c r="A165" t="s">
        <v>769</v>
      </c>
      <c r="B165" s="10">
        <v>44436</v>
      </c>
      <c r="C165" t="s">
        <v>8</v>
      </c>
      <c r="D165" s="9" t="s">
        <v>436</v>
      </c>
      <c r="E165" s="42" t="s">
        <v>437</v>
      </c>
      <c r="F165" s="42" t="s">
        <v>253</v>
      </c>
      <c r="G165" s="42">
        <v>0.29097222222222219</v>
      </c>
      <c r="H165" s="12" t="s">
        <v>20</v>
      </c>
      <c r="I165">
        <v>104.74999999999999</v>
      </c>
      <c r="J165" t="s">
        <v>90</v>
      </c>
      <c r="K165" t="s">
        <v>18</v>
      </c>
    </row>
    <row r="166" spans="1:11" x14ac:dyDescent="0.3">
      <c r="A166" t="s">
        <v>770</v>
      </c>
      <c r="B166" s="10">
        <v>44412</v>
      </c>
      <c r="C166" t="s">
        <v>10</v>
      </c>
      <c r="D166" s="9" t="s">
        <v>438</v>
      </c>
      <c r="E166" s="42" t="s">
        <v>439</v>
      </c>
      <c r="F166" s="42" t="s">
        <v>440</v>
      </c>
      <c r="G166" s="42">
        <v>9.1666666666666619E-2</v>
      </c>
      <c r="H166" s="12" t="s">
        <v>20</v>
      </c>
      <c r="I166">
        <v>19.79999999999999</v>
      </c>
      <c r="J166" t="s">
        <v>17</v>
      </c>
      <c r="K166" t="s">
        <v>18</v>
      </c>
    </row>
    <row r="167" spans="1:11" x14ac:dyDescent="0.3">
      <c r="A167" t="s">
        <v>771</v>
      </c>
      <c r="B167" s="10">
        <v>44467</v>
      </c>
      <c r="C167" t="s">
        <v>7</v>
      </c>
      <c r="D167" s="9" t="s">
        <v>441</v>
      </c>
      <c r="E167" s="42" t="s">
        <v>442</v>
      </c>
      <c r="F167" s="42" t="s">
        <v>443</v>
      </c>
      <c r="G167" s="42">
        <v>0.21041666666666664</v>
      </c>
      <c r="H167" s="12" t="s">
        <v>31</v>
      </c>
      <c r="I167">
        <v>100.99999999999997</v>
      </c>
      <c r="J167" t="s">
        <v>49</v>
      </c>
      <c r="K167" t="s">
        <v>18</v>
      </c>
    </row>
    <row r="168" spans="1:11" x14ac:dyDescent="0.3">
      <c r="A168" t="s">
        <v>772</v>
      </c>
      <c r="B168" s="10">
        <v>44418</v>
      </c>
      <c r="C168" t="s">
        <v>10</v>
      </c>
      <c r="D168" s="9" t="s">
        <v>444</v>
      </c>
      <c r="E168" s="42" t="s">
        <v>262</v>
      </c>
      <c r="F168" s="42" t="s">
        <v>445</v>
      </c>
      <c r="G168" s="42">
        <v>0.26041666666666669</v>
      </c>
      <c r="H168" s="12" t="s">
        <v>20</v>
      </c>
      <c r="I168">
        <v>56.25</v>
      </c>
      <c r="J168" t="s">
        <v>53</v>
      </c>
      <c r="K168" t="s">
        <v>18</v>
      </c>
    </row>
    <row r="169" spans="1:11" x14ac:dyDescent="0.3">
      <c r="A169" t="s">
        <v>773</v>
      </c>
      <c r="B169" s="10">
        <v>44449</v>
      </c>
      <c r="C169" t="s">
        <v>8</v>
      </c>
      <c r="D169" s="9" t="s">
        <v>446</v>
      </c>
      <c r="E169" s="42" t="s">
        <v>447</v>
      </c>
      <c r="F169" s="42" t="s">
        <v>290</v>
      </c>
      <c r="G169" s="42">
        <v>0.2</v>
      </c>
      <c r="H169" s="12" t="s">
        <v>31</v>
      </c>
      <c r="I169">
        <v>72.000000000000014</v>
      </c>
      <c r="J169" t="s">
        <v>35</v>
      </c>
      <c r="K169" t="s">
        <v>18</v>
      </c>
    </row>
    <row r="170" spans="1:11" x14ac:dyDescent="0.3">
      <c r="A170" t="s">
        <v>774</v>
      </c>
      <c r="B170" s="10">
        <v>44457</v>
      </c>
      <c r="C170" t="s">
        <v>10</v>
      </c>
      <c r="D170" s="9" t="s">
        <v>448</v>
      </c>
      <c r="E170" s="42" t="s">
        <v>449</v>
      </c>
      <c r="F170" s="42" t="s">
        <v>80</v>
      </c>
      <c r="G170" s="42">
        <v>0.3576388888888889</v>
      </c>
      <c r="H170" s="12" t="s">
        <v>31</v>
      </c>
      <c r="I170">
        <v>77.25</v>
      </c>
      <c r="J170" t="s">
        <v>42</v>
      </c>
      <c r="K170" t="s">
        <v>18</v>
      </c>
    </row>
    <row r="171" spans="1:11" x14ac:dyDescent="0.3">
      <c r="A171" t="s">
        <v>775</v>
      </c>
      <c r="B171" s="10">
        <v>44424</v>
      </c>
      <c r="C171" t="s">
        <v>9</v>
      </c>
      <c r="D171" s="9" t="s">
        <v>450</v>
      </c>
      <c r="E171" s="42" t="s">
        <v>451</v>
      </c>
      <c r="F171" s="42" t="s">
        <v>299</v>
      </c>
      <c r="G171" s="42">
        <v>0.22430555555555559</v>
      </c>
      <c r="H171" s="12" t="s">
        <v>20</v>
      </c>
      <c r="I171">
        <v>64.600000000000023</v>
      </c>
      <c r="J171" t="s">
        <v>49</v>
      </c>
      <c r="K171" t="s">
        <v>18</v>
      </c>
    </row>
    <row r="172" spans="1:11" x14ac:dyDescent="0.3">
      <c r="A172" t="s">
        <v>776</v>
      </c>
      <c r="B172" s="10">
        <v>44420</v>
      </c>
      <c r="C172" t="s">
        <v>8</v>
      </c>
      <c r="D172" s="9" t="s">
        <v>452</v>
      </c>
      <c r="E172" s="42" t="s">
        <v>295</v>
      </c>
      <c r="F172" s="42" t="s">
        <v>52</v>
      </c>
      <c r="G172" s="42">
        <v>0.32916666666666666</v>
      </c>
      <c r="H172" s="12" t="s">
        <v>31</v>
      </c>
      <c r="I172">
        <v>118.5</v>
      </c>
      <c r="J172" t="s">
        <v>57</v>
      </c>
      <c r="K172" t="s">
        <v>18</v>
      </c>
    </row>
    <row r="173" spans="1:11" x14ac:dyDescent="0.3">
      <c r="A173" t="s">
        <v>777</v>
      </c>
      <c r="B173" s="10">
        <v>44384</v>
      </c>
      <c r="C173" t="s">
        <v>7</v>
      </c>
      <c r="D173" s="9" t="s">
        <v>453</v>
      </c>
      <c r="E173" s="42" t="s">
        <v>454</v>
      </c>
      <c r="F173" s="42" t="s">
        <v>402</v>
      </c>
      <c r="G173" s="42">
        <v>0.26527777777777778</v>
      </c>
      <c r="H173" s="12" t="s">
        <v>20</v>
      </c>
      <c r="I173">
        <v>127.33333333333334</v>
      </c>
      <c r="J173" t="s">
        <v>106</v>
      </c>
      <c r="K173" t="s">
        <v>18</v>
      </c>
    </row>
    <row r="174" spans="1:11" x14ac:dyDescent="0.3">
      <c r="A174" t="s">
        <v>778</v>
      </c>
      <c r="B174" s="10">
        <v>44418</v>
      </c>
      <c r="C174" t="s">
        <v>10</v>
      </c>
      <c r="D174" s="9" t="s">
        <v>455</v>
      </c>
      <c r="E174" s="42" t="s">
        <v>456</v>
      </c>
      <c r="F174" s="42" t="s">
        <v>333</v>
      </c>
      <c r="G174" s="42">
        <v>0.19027777777777777</v>
      </c>
      <c r="H174" s="12" t="s">
        <v>31</v>
      </c>
      <c r="I174">
        <v>41.099999999999994</v>
      </c>
      <c r="J174" t="s">
        <v>134</v>
      </c>
      <c r="K174" t="s">
        <v>18</v>
      </c>
    </row>
    <row r="175" spans="1:11" x14ac:dyDescent="0.3">
      <c r="A175" t="s">
        <v>779</v>
      </c>
      <c r="B175" s="10">
        <v>44445</v>
      </c>
      <c r="C175" t="s">
        <v>10</v>
      </c>
      <c r="D175" s="9" t="s">
        <v>457</v>
      </c>
      <c r="E175" s="42" t="s">
        <v>458</v>
      </c>
      <c r="F175" s="42" t="s">
        <v>459</v>
      </c>
      <c r="G175" s="42">
        <v>0.13749999999999996</v>
      </c>
      <c r="H175" s="12" t="s">
        <v>20</v>
      </c>
      <c r="I175">
        <v>29.699999999999989</v>
      </c>
      <c r="J175" t="s">
        <v>53</v>
      </c>
      <c r="K175" t="s">
        <v>18</v>
      </c>
    </row>
    <row r="176" spans="1:11" x14ac:dyDescent="0.3">
      <c r="A176" t="s">
        <v>780</v>
      </c>
      <c r="B176" s="10">
        <v>44454</v>
      </c>
      <c r="C176" t="s">
        <v>8</v>
      </c>
      <c r="D176" s="9" t="s">
        <v>460</v>
      </c>
      <c r="E176" s="42" t="s">
        <v>82</v>
      </c>
      <c r="F176" s="42" t="s">
        <v>461</v>
      </c>
      <c r="G176" s="42">
        <v>0.24791666666666667</v>
      </c>
      <c r="H176" s="12" t="s">
        <v>31</v>
      </c>
      <c r="I176">
        <v>89.25</v>
      </c>
      <c r="J176" t="s">
        <v>46</v>
      </c>
      <c r="K176" t="s">
        <v>18</v>
      </c>
    </row>
    <row r="177" spans="1:11" x14ac:dyDescent="0.3">
      <c r="A177" t="s">
        <v>781</v>
      </c>
      <c r="B177" s="10">
        <v>44403</v>
      </c>
      <c r="C177" t="s">
        <v>8</v>
      </c>
      <c r="D177" s="9" t="s">
        <v>462</v>
      </c>
      <c r="E177" s="42" t="s">
        <v>29</v>
      </c>
      <c r="F177" s="42" t="s">
        <v>463</v>
      </c>
      <c r="G177" s="42">
        <v>8.6111111111111138E-2</v>
      </c>
      <c r="H177" s="12" t="s">
        <v>20</v>
      </c>
      <c r="I177">
        <v>31.000000000000011</v>
      </c>
      <c r="J177" t="s">
        <v>57</v>
      </c>
      <c r="K177" t="s">
        <v>18</v>
      </c>
    </row>
    <row r="178" spans="1:11" x14ac:dyDescent="0.3">
      <c r="A178" t="s">
        <v>782</v>
      </c>
      <c r="B178" s="10">
        <v>44364</v>
      </c>
      <c r="C178" t="s">
        <v>9</v>
      </c>
      <c r="D178" s="9" t="s">
        <v>464</v>
      </c>
      <c r="E178" s="42" t="s">
        <v>465</v>
      </c>
      <c r="F178" s="42" t="s">
        <v>466</v>
      </c>
      <c r="G178" s="42">
        <v>0.32777777777777778</v>
      </c>
      <c r="H178" s="12" t="s">
        <v>20</v>
      </c>
      <c r="I178">
        <v>94.4</v>
      </c>
      <c r="J178" t="s">
        <v>96</v>
      </c>
      <c r="K178" t="s">
        <v>18</v>
      </c>
    </row>
    <row r="179" spans="1:11" x14ac:dyDescent="0.3">
      <c r="A179" t="s">
        <v>783</v>
      </c>
      <c r="B179" s="10">
        <v>44372</v>
      </c>
      <c r="C179" t="s">
        <v>9</v>
      </c>
      <c r="D179" s="9" t="s">
        <v>467</v>
      </c>
      <c r="E179" s="42" t="s">
        <v>136</v>
      </c>
      <c r="F179" s="42" t="s">
        <v>279</v>
      </c>
      <c r="G179" s="42">
        <v>5.902777777777779E-2</v>
      </c>
      <c r="H179" s="12" t="s">
        <v>20</v>
      </c>
      <c r="I179">
        <v>17.000000000000004</v>
      </c>
      <c r="J179" t="s">
        <v>49</v>
      </c>
      <c r="K179" t="s">
        <v>18</v>
      </c>
    </row>
    <row r="180" spans="1:11" x14ac:dyDescent="0.3">
      <c r="A180" t="s">
        <v>784</v>
      </c>
      <c r="B180" s="10">
        <v>44454</v>
      </c>
      <c r="C180" t="s">
        <v>8</v>
      </c>
      <c r="D180" s="9" t="s">
        <v>468</v>
      </c>
      <c r="E180" s="42" t="s">
        <v>29</v>
      </c>
      <c r="F180" s="42" t="s">
        <v>344</v>
      </c>
      <c r="G180" s="42">
        <v>0.10486111111111118</v>
      </c>
      <c r="H180" s="12" t="s">
        <v>31</v>
      </c>
      <c r="I180">
        <v>37.750000000000028</v>
      </c>
      <c r="J180" t="s">
        <v>117</v>
      </c>
      <c r="K180" t="s">
        <v>18</v>
      </c>
    </row>
    <row r="181" spans="1:11" x14ac:dyDescent="0.3">
      <c r="A181" t="s">
        <v>785</v>
      </c>
      <c r="B181" s="10">
        <v>44351</v>
      </c>
      <c r="C181" t="s">
        <v>10</v>
      </c>
      <c r="D181" s="9" t="s">
        <v>469</v>
      </c>
      <c r="E181" s="42" t="s">
        <v>332</v>
      </c>
      <c r="F181" s="42" t="s">
        <v>470</v>
      </c>
      <c r="G181" s="42">
        <v>0.26250000000000001</v>
      </c>
      <c r="H181" s="12" t="s">
        <v>31</v>
      </c>
      <c r="I181">
        <v>56.7</v>
      </c>
      <c r="J181" t="s">
        <v>35</v>
      </c>
      <c r="K181" t="s">
        <v>18</v>
      </c>
    </row>
    <row r="182" spans="1:11" x14ac:dyDescent="0.3">
      <c r="A182" t="s">
        <v>786</v>
      </c>
      <c r="B182" s="10">
        <v>44430</v>
      </c>
      <c r="C182" t="s">
        <v>8</v>
      </c>
      <c r="D182" s="9" t="s">
        <v>471</v>
      </c>
      <c r="E182" s="42" t="s">
        <v>342</v>
      </c>
      <c r="F182" s="42" t="s">
        <v>230</v>
      </c>
      <c r="G182" s="42">
        <v>0.28749999999999998</v>
      </c>
      <c r="H182" s="12" t="s">
        <v>20</v>
      </c>
      <c r="I182">
        <v>103.49999999999999</v>
      </c>
      <c r="J182" t="s">
        <v>96</v>
      </c>
      <c r="K182" t="s">
        <v>18</v>
      </c>
    </row>
    <row r="183" spans="1:11" x14ac:dyDescent="0.3">
      <c r="A183" t="s">
        <v>787</v>
      </c>
      <c r="B183" s="10">
        <v>44431</v>
      </c>
      <c r="C183" t="s">
        <v>7</v>
      </c>
      <c r="D183" s="9" t="s">
        <v>472</v>
      </c>
      <c r="E183" s="42" t="s">
        <v>264</v>
      </c>
      <c r="F183" s="42" t="s">
        <v>473</v>
      </c>
      <c r="G183" s="42">
        <v>0.19236111111111115</v>
      </c>
      <c r="H183" s="12" t="s">
        <v>31</v>
      </c>
      <c r="I183">
        <v>92.333333333333343</v>
      </c>
      <c r="J183" t="s">
        <v>35</v>
      </c>
      <c r="K183" t="s">
        <v>18</v>
      </c>
    </row>
    <row r="184" spans="1:11" x14ac:dyDescent="0.3">
      <c r="A184" t="s">
        <v>788</v>
      </c>
      <c r="B184" s="10">
        <v>44459</v>
      </c>
      <c r="C184" t="s">
        <v>8</v>
      </c>
      <c r="D184" s="9" t="s">
        <v>474</v>
      </c>
      <c r="E184" s="42" t="s">
        <v>475</v>
      </c>
      <c r="F184" s="42" t="s">
        <v>148</v>
      </c>
      <c r="G184" s="42">
        <v>0.20208333333333334</v>
      </c>
      <c r="H184" s="12" t="s">
        <v>31</v>
      </c>
      <c r="I184">
        <v>72.75</v>
      </c>
      <c r="J184" t="s">
        <v>53</v>
      </c>
      <c r="K184" t="s">
        <v>18</v>
      </c>
    </row>
    <row r="185" spans="1:11" x14ac:dyDescent="0.3">
      <c r="A185" t="s">
        <v>789</v>
      </c>
      <c r="B185" s="10">
        <v>44357</v>
      </c>
      <c r="C185" t="s">
        <v>8</v>
      </c>
      <c r="D185" s="9" t="s">
        <v>476</v>
      </c>
      <c r="E185" s="42" t="s">
        <v>477</v>
      </c>
      <c r="F185" s="42" t="s">
        <v>478</v>
      </c>
      <c r="G185" s="42">
        <v>0.13819444444444445</v>
      </c>
      <c r="H185" s="12" t="s">
        <v>20</v>
      </c>
      <c r="I185">
        <v>49.75</v>
      </c>
      <c r="J185" t="s">
        <v>64</v>
      </c>
      <c r="K185" t="s">
        <v>18</v>
      </c>
    </row>
    <row r="186" spans="1:11" x14ac:dyDescent="0.3">
      <c r="A186" t="s">
        <v>790</v>
      </c>
      <c r="B186" s="10">
        <v>44371</v>
      </c>
      <c r="C186" t="s">
        <v>7</v>
      </c>
      <c r="D186" s="9" t="s">
        <v>479</v>
      </c>
      <c r="E186" s="42" t="s">
        <v>342</v>
      </c>
      <c r="F186" s="42" t="s">
        <v>480</v>
      </c>
      <c r="G186" s="42">
        <v>0.20416666666666672</v>
      </c>
      <c r="H186" s="12" t="s">
        <v>31</v>
      </c>
      <c r="I186">
        <v>98.000000000000028</v>
      </c>
      <c r="J186" t="s">
        <v>77</v>
      </c>
      <c r="K186" t="s">
        <v>18</v>
      </c>
    </row>
    <row r="187" spans="1:11" x14ac:dyDescent="0.3">
      <c r="A187" t="s">
        <v>791</v>
      </c>
      <c r="B187" s="10">
        <v>44410</v>
      </c>
      <c r="C187" t="s">
        <v>7</v>
      </c>
      <c r="D187" s="9" t="s">
        <v>481</v>
      </c>
      <c r="E187" s="42" t="s">
        <v>162</v>
      </c>
      <c r="F187" s="42" t="s">
        <v>285</v>
      </c>
      <c r="G187" s="42">
        <v>0.21597222222222218</v>
      </c>
      <c r="H187" s="12" t="s">
        <v>31</v>
      </c>
      <c r="I187">
        <v>103.66666666666663</v>
      </c>
      <c r="J187" t="s">
        <v>17</v>
      </c>
      <c r="K187" t="s">
        <v>18</v>
      </c>
    </row>
    <row r="188" spans="1:11" x14ac:dyDescent="0.3">
      <c r="A188" t="s">
        <v>792</v>
      </c>
      <c r="B188" s="10">
        <v>44454</v>
      </c>
      <c r="C188" t="s">
        <v>8</v>
      </c>
      <c r="D188" s="9" t="s">
        <v>482</v>
      </c>
      <c r="E188" s="42" t="s">
        <v>221</v>
      </c>
      <c r="F188" s="42" t="s">
        <v>483</v>
      </c>
      <c r="G188" s="42">
        <v>0.21736111111111112</v>
      </c>
      <c r="H188" s="12" t="s">
        <v>31</v>
      </c>
      <c r="I188">
        <v>78.25</v>
      </c>
      <c r="J188" t="s">
        <v>24</v>
      </c>
      <c r="K188" t="s">
        <v>18</v>
      </c>
    </row>
    <row r="189" spans="1:11" x14ac:dyDescent="0.3">
      <c r="A189" t="s">
        <v>793</v>
      </c>
      <c r="B189" s="10">
        <v>44414</v>
      </c>
      <c r="C189" t="s">
        <v>8</v>
      </c>
      <c r="D189" s="9" t="s">
        <v>484</v>
      </c>
      <c r="E189" s="42" t="s">
        <v>122</v>
      </c>
      <c r="F189" s="42" t="s">
        <v>485</v>
      </c>
      <c r="G189" s="42">
        <v>5.1388888888888873E-2</v>
      </c>
      <c r="H189" s="12" t="s">
        <v>20</v>
      </c>
      <c r="I189">
        <v>18.499999999999993</v>
      </c>
      <c r="J189" t="s">
        <v>117</v>
      </c>
      <c r="K189" t="s">
        <v>18</v>
      </c>
    </row>
    <row r="190" spans="1:11" x14ac:dyDescent="0.3">
      <c r="A190" t="s">
        <v>794</v>
      </c>
      <c r="B190" s="10">
        <v>44448</v>
      </c>
      <c r="C190" t="s">
        <v>10</v>
      </c>
      <c r="D190" s="9" t="s">
        <v>486</v>
      </c>
      <c r="E190" s="42" t="s">
        <v>29</v>
      </c>
      <c r="F190" s="42" t="s">
        <v>363</v>
      </c>
      <c r="G190" s="42">
        <v>7.0833333333333415E-2</v>
      </c>
      <c r="H190" s="12" t="s">
        <v>31</v>
      </c>
      <c r="I190">
        <v>15.300000000000018</v>
      </c>
      <c r="J190" t="s">
        <v>42</v>
      </c>
      <c r="K190" t="s">
        <v>18</v>
      </c>
    </row>
    <row r="191" spans="1:11" x14ac:dyDescent="0.3">
      <c r="A191" t="s">
        <v>795</v>
      </c>
      <c r="B191" s="10">
        <v>44426</v>
      </c>
      <c r="C191" t="s">
        <v>7</v>
      </c>
      <c r="D191" s="9" t="s">
        <v>487</v>
      </c>
      <c r="E191" s="42" t="s">
        <v>488</v>
      </c>
      <c r="F191" s="42" t="s">
        <v>489</v>
      </c>
      <c r="G191" s="42">
        <v>0.12222222222222218</v>
      </c>
      <c r="H191" s="12" t="s">
        <v>31</v>
      </c>
      <c r="I191">
        <v>58.666666666666643</v>
      </c>
      <c r="J191" t="s">
        <v>96</v>
      </c>
      <c r="K191" t="s">
        <v>18</v>
      </c>
    </row>
    <row r="192" spans="1:11" x14ac:dyDescent="0.3">
      <c r="A192" t="s">
        <v>796</v>
      </c>
      <c r="B192" s="10">
        <v>44420</v>
      </c>
      <c r="C192" t="s">
        <v>10</v>
      </c>
      <c r="D192" s="9" t="s">
        <v>490</v>
      </c>
      <c r="E192" s="42" t="s">
        <v>491</v>
      </c>
      <c r="F192" s="42" t="s">
        <v>215</v>
      </c>
      <c r="G192" s="42">
        <v>0.18333333333333329</v>
      </c>
      <c r="H192" s="12" t="s">
        <v>31</v>
      </c>
      <c r="I192">
        <v>39.599999999999987</v>
      </c>
      <c r="J192" t="s">
        <v>35</v>
      </c>
      <c r="K192" t="s">
        <v>18</v>
      </c>
    </row>
    <row r="193" spans="1:11" x14ac:dyDescent="0.3">
      <c r="A193" t="s">
        <v>797</v>
      </c>
      <c r="B193" s="10">
        <v>44442</v>
      </c>
      <c r="C193" t="s">
        <v>8</v>
      </c>
      <c r="D193" s="9" t="s">
        <v>492</v>
      </c>
      <c r="E193" s="42" t="s">
        <v>318</v>
      </c>
      <c r="F193" s="42" t="s">
        <v>257</v>
      </c>
      <c r="G193" s="42">
        <v>0.1868055555555555</v>
      </c>
      <c r="H193" s="12" t="s">
        <v>20</v>
      </c>
      <c r="I193">
        <v>67.249999999999986</v>
      </c>
      <c r="J193" t="s">
        <v>64</v>
      </c>
      <c r="K193" t="s">
        <v>18</v>
      </c>
    </row>
    <row r="194" spans="1:11" x14ac:dyDescent="0.3">
      <c r="A194" t="s">
        <v>798</v>
      </c>
      <c r="B194" s="10">
        <v>44433</v>
      </c>
      <c r="C194" t="s">
        <v>8</v>
      </c>
      <c r="D194" s="9" t="s">
        <v>493</v>
      </c>
      <c r="E194" s="42" t="s">
        <v>226</v>
      </c>
      <c r="F194" s="42" t="s">
        <v>494</v>
      </c>
      <c r="G194" s="42">
        <v>0.29791666666666672</v>
      </c>
      <c r="H194" s="12" t="s">
        <v>31</v>
      </c>
      <c r="I194">
        <v>107.25000000000001</v>
      </c>
      <c r="J194" t="s">
        <v>64</v>
      </c>
      <c r="K194" t="s">
        <v>18</v>
      </c>
    </row>
    <row r="195" spans="1:11" x14ac:dyDescent="0.3">
      <c r="A195" t="s">
        <v>799</v>
      </c>
      <c r="B195" s="10">
        <v>44382</v>
      </c>
      <c r="C195" t="s">
        <v>9</v>
      </c>
      <c r="D195" s="9" t="s">
        <v>495</v>
      </c>
      <c r="E195" s="42" t="s">
        <v>496</v>
      </c>
      <c r="F195" s="42" t="s">
        <v>497</v>
      </c>
      <c r="G195" s="42">
        <v>0.21250000000000002</v>
      </c>
      <c r="H195" s="12" t="s">
        <v>20</v>
      </c>
      <c r="I195">
        <v>61.2</v>
      </c>
      <c r="J195" t="s">
        <v>17</v>
      </c>
      <c r="K195" t="s">
        <v>18</v>
      </c>
    </row>
    <row r="196" spans="1:11" x14ac:dyDescent="0.3">
      <c r="A196" t="s">
        <v>800</v>
      </c>
      <c r="B196" s="10">
        <v>44423</v>
      </c>
      <c r="C196" t="s">
        <v>10</v>
      </c>
      <c r="D196" s="9" t="s">
        <v>498</v>
      </c>
      <c r="E196" s="42" t="s">
        <v>499</v>
      </c>
      <c r="F196" s="42" t="s">
        <v>500</v>
      </c>
      <c r="G196" s="42">
        <v>0.13472222222222224</v>
      </c>
      <c r="H196" s="12" t="s">
        <v>31</v>
      </c>
      <c r="I196">
        <v>29.100000000000005</v>
      </c>
      <c r="J196" t="s">
        <v>117</v>
      </c>
      <c r="K196" t="s">
        <v>18</v>
      </c>
    </row>
    <row r="197" spans="1:11" x14ac:dyDescent="0.3">
      <c r="A197" t="s">
        <v>801</v>
      </c>
      <c r="B197" s="10">
        <v>44411</v>
      </c>
      <c r="C197" t="s">
        <v>7</v>
      </c>
      <c r="D197" s="9" t="s">
        <v>501</v>
      </c>
      <c r="E197" s="42" t="s">
        <v>437</v>
      </c>
      <c r="F197" s="42" t="s">
        <v>310</v>
      </c>
      <c r="G197" s="42">
        <v>0.28749999999999998</v>
      </c>
      <c r="H197" s="12" t="s">
        <v>31</v>
      </c>
      <c r="I197">
        <v>138</v>
      </c>
      <c r="J197" t="s">
        <v>35</v>
      </c>
      <c r="K197" t="s">
        <v>18</v>
      </c>
    </row>
    <row r="198" spans="1:11" x14ac:dyDescent="0.3">
      <c r="A198" t="s">
        <v>802</v>
      </c>
      <c r="B198" s="10">
        <v>44470</v>
      </c>
      <c r="C198" t="s">
        <v>10</v>
      </c>
      <c r="D198" s="9" t="s">
        <v>502</v>
      </c>
      <c r="E198" s="42" t="s">
        <v>503</v>
      </c>
      <c r="F198" s="42" t="s">
        <v>257</v>
      </c>
      <c r="G198" s="42">
        <v>0.18472222222222218</v>
      </c>
      <c r="H198" s="12" t="s">
        <v>31</v>
      </c>
      <c r="I198">
        <v>39.899999999999984</v>
      </c>
      <c r="J198" t="s">
        <v>96</v>
      </c>
      <c r="K198" t="s">
        <v>18</v>
      </c>
    </row>
    <row r="199" spans="1:11" x14ac:dyDescent="0.3">
      <c r="A199" t="s">
        <v>803</v>
      </c>
      <c r="B199" s="10">
        <v>44352</v>
      </c>
      <c r="C199" t="s">
        <v>8</v>
      </c>
      <c r="D199" s="9" t="s">
        <v>504</v>
      </c>
      <c r="E199" s="42" t="s">
        <v>326</v>
      </c>
      <c r="F199" s="42" t="s">
        <v>265</v>
      </c>
      <c r="G199" s="42">
        <v>0.14166666666666655</v>
      </c>
      <c r="H199" s="12" t="s">
        <v>20</v>
      </c>
      <c r="I199">
        <v>50.999999999999957</v>
      </c>
      <c r="J199" t="s">
        <v>90</v>
      </c>
      <c r="K199" t="s">
        <v>18</v>
      </c>
    </row>
    <row r="200" spans="1:11" x14ac:dyDescent="0.3">
      <c r="A200" t="s">
        <v>804</v>
      </c>
      <c r="B200" s="10">
        <v>44427</v>
      </c>
      <c r="C200" t="s">
        <v>7</v>
      </c>
      <c r="D200" s="9" t="s">
        <v>505</v>
      </c>
      <c r="E200" s="42" t="s">
        <v>88</v>
      </c>
      <c r="F200" s="42" t="s">
        <v>506</v>
      </c>
      <c r="G200" s="42">
        <v>0.2326388888888889</v>
      </c>
      <c r="H200" s="12" t="s">
        <v>20</v>
      </c>
      <c r="I200">
        <v>111.66666666666669</v>
      </c>
      <c r="J200" t="s">
        <v>90</v>
      </c>
      <c r="K200" t="s">
        <v>18</v>
      </c>
    </row>
    <row r="201" spans="1:11" x14ac:dyDescent="0.3">
      <c r="A201" t="s">
        <v>805</v>
      </c>
      <c r="B201" s="10">
        <v>44438</v>
      </c>
      <c r="C201" t="s">
        <v>7</v>
      </c>
      <c r="D201" s="9" t="s">
        <v>507</v>
      </c>
      <c r="E201" s="42" t="s">
        <v>508</v>
      </c>
      <c r="F201" s="42" t="s">
        <v>509</v>
      </c>
      <c r="G201" s="42">
        <v>0.35694444444444445</v>
      </c>
      <c r="H201" s="12" t="s">
        <v>20</v>
      </c>
      <c r="I201">
        <v>171.33333333333331</v>
      </c>
      <c r="J201" t="s">
        <v>35</v>
      </c>
      <c r="K201" t="s">
        <v>18</v>
      </c>
    </row>
    <row r="202" spans="1:11" x14ac:dyDescent="0.3">
      <c r="A202" t="s">
        <v>806</v>
      </c>
      <c r="B202" s="10">
        <v>44354</v>
      </c>
      <c r="C202" t="s">
        <v>10</v>
      </c>
      <c r="D202" s="9" t="s">
        <v>510</v>
      </c>
      <c r="E202" s="42" t="s">
        <v>511</v>
      </c>
      <c r="F202" s="42" t="s">
        <v>260</v>
      </c>
      <c r="G202" s="42">
        <v>0.28819444444444436</v>
      </c>
      <c r="H202" s="12" t="s">
        <v>20</v>
      </c>
      <c r="I202">
        <v>62.249999999999979</v>
      </c>
      <c r="J202" t="s">
        <v>57</v>
      </c>
      <c r="K202" t="s">
        <v>18</v>
      </c>
    </row>
    <row r="203" spans="1:11" x14ac:dyDescent="0.3">
      <c r="A203" t="s">
        <v>807</v>
      </c>
      <c r="B203" s="10">
        <v>44424</v>
      </c>
      <c r="C203" t="s">
        <v>10</v>
      </c>
      <c r="D203" s="9" t="s">
        <v>512</v>
      </c>
      <c r="E203" s="42" t="s">
        <v>342</v>
      </c>
      <c r="F203" s="42" t="s">
        <v>86</v>
      </c>
      <c r="G203" s="42">
        <v>0.27847222222222223</v>
      </c>
      <c r="H203" s="12" t="s">
        <v>31</v>
      </c>
      <c r="I203">
        <v>60.150000000000006</v>
      </c>
      <c r="J203" t="s">
        <v>64</v>
      </c>
      <c r="K203" t="s">
        <v>18</v>
      </c>
    </row>
    <row r="204" spans="1:11" x14ac:dyDescent="0.3">
      <c r="A204" t="s">
        <v>808</v>
      </c>
      <c r="B204" s="10">
        <v>44421</v>
      </c>
      <c r="C204" t="s">
        <v>10</v>
      </c>
      <c r="D204" s="9" t="s">
        <v>513</v>
      </c>
      <c r="E204" s="42" t="s">
        <v>442</v>
      </c>
      <c r="F204" s="42" t="s">
        <v>514</v>
      </c>
      <c r="G204" s="42">
        <v>0.2409722222222222</v>
      </c>
      <c r="H204" s="12" t="s">
        <v>31</v>
      </c>
      <c r="I204">
        <v>52.05</v>
      </c>
      <c r="J204" t="s">
        <v>96</v>
      </c>
      <c r="K204" t="s">
        <v>18</v>
      </c>
    </row>
    <row r="205" spans="1:11" x14ac:dyDescent="0.3">
      <c r="A205" t="s">
        <v>809</v>
      </c>
      <c r="B205" s="10">
        <v>44430</v>
      </c>
      <c r="C205" t="s">
        <v>7</v>
      </c>
      <c r="D205" s="9" t="s">
        <v>515</v>
      </c>
      <c r="E205" s="42" t="s">
        <v>516</v>
      </c>
      <c r="F205" s="42" t="s">
        <v>517</v>
      </c>
      <c r="G205" s="42">
        <v>0.15277777777777773</v>
      </c>
      <c r="H205" s="12" t="s">
        <v>31</v>
      </c>
      <c r="I205">
        <v>73.333333333333314</v>
      </c>
      <c r="J205" t="s">
        <v>35</v>
      </c>
      <c r="K205" t="s">
        <v>18</v>
      </c>
    </row>
    <row r="206" spans="1:11" x14ac:dyDescent="0.3">
      <c r="A206" t="s">
        <v>810</v>
      </c>
      <c r="B206" s="10">
        <v>44446</v>
      </c>
      <c r="C206" t="s">
        <v>9</v>
      </c>
      <c r="D206" s="9" t="s">
        <v>518</v>
      </c>
      <c r="E206" s="42" t="s">
        <v>85</v>
      </c>
      <c r="F206" s="42" t="s">
        <v>519</v>
      </c>
      <c r="G206" s="42">
        <v>0.11388888888888893</v>
      </c>
      <c r="H206" s="12" t="s">
        <v>20</v>
      </c>
      <c r="I206">
        <v>32.800000000000011</v>
      </c>
      <c r="J206" t="s">
        <v>53</v>
      </c>
      <c r="K206" t="s">
        <v>18</v>
      </c>
    </row>
    <row r="207" spans="1:11" x14ac:dyDescent="0.3">
      <c r="A207" t="s">
        <v>811</v>
      </c>
      <c r="B207" s="10">
        <v>44446</v>
      </c>
      <c r="C207" t="s">
        <v>9</v>
      </c>
      <c r="D207" s="9" t="s">
        <v>520</v>
      </c>
      <c r="E207" s="42" t="s">
        <v>72</v>
      </c>
      <c r="F207" s="42" t="s">
        <v>402</v>
      </c>
      <c r="G207" s="42">
        <v>0.23611111111111105</v>
      </c>
      <c r="H207" s="12" t="s">
        <v>31</v>
      </c>
      <c r="I207">
        <v>67.999999999999986</v>
      </c>
      <c r="J207" t="s">
        <v>57</v>
      </c>
      <c r="K207" t="s">
        <v>18</v>
      </c>
    </row>
    <row r="208" spans="1:11" x14ac:dyDescent="0.3">
      <c r="A208" t="s">
        <v>812</v>
      </c>
      <c r="B208" s="10">
        <v>44404</v>
      </c>
      <c r="C208" t="s">
        <v>10</v>
      </c>
      <c r="D208" s="9" t="s">
        <v>521</v>
      </c>
      <c r="E208" s="42" t="s">
        <v>522</v>
      </c>
      <c r="F208" s="42" t="s">
        <v>494</v>
      </c>
      <c r="G208" s="42">
        <v>0.31527777777777782</v>
      </c>
      <c r="H208" s="12" t="s">
        <v>31</v>
      </c>
      <c r="I208">
        <v>68.100000000000009</v>
      </c>
      <c r="J208" t="s">
        <v>134</v>
      </c>
      <c r="K208" t="s">
        <v>18</v>
      </c>
    </row>
    <row r="209" spans="1:11" x14ac:dyDescent="0.3">
      <c r="A209" t="s">
        <v>813</v>
      </c>
      <c r="B209" s="10">
        <v>44409</v>
      </c>
      <c r="C209" t="s">
        <v>9</v>
      </c>
      <c r="D209" s="9" t="s">
        <v>523</v>
      </c>
      <c r="E209" s="42" t="s">
        <v>524</v>
      </c>
      <c r="F209" s="42" t="s">
        <v>230</v>
      </c>
      <c r="G209" s="42">
        <v>0.29722222222222217</v>
      </c>
      <c r="H209" s="12" t="s">
        <v>20</v>
      </c>
      <c r="I209">
        <v>85.59999999999998</v>
      </c>
      <c r="J209" t="s">
        <v>17</v>
      </c>
      <c r="K209" t="s">
        <v>18</v>
      </c>
    </row>
    <row r="210" spans="1:11" x14ac:dyDescent="0.3">
      <c r="A210" t="s">
        <v>814</v>
      </c>
      <c r="B210" s="10">
        <v>44423</v>
      </c>
      <c r="C210" t="s">
        <v>10</v>
      </c>
      <c r="D210" s="9" t="s">
        <v>525</v>
      </c>
      <c r="E210" s="42" t="s">
        <v>526</v>
      </c>
      <c r="F210" s="42" t="s">
        <v>478</v>
      </c>
      <c r="G210" s="42">
        <v>0.23333333333333339</v>
      </c>
      <c r="H210" s="12" t="s">
        <v>20</v>
      </c>
      <c r="I210">
        <v>50.400000000000013</v>
      </c>
      <c r="J210" t="s">
        <v>134</v>
      </c>
      <c r="K210" t="s">
        <v>18</v>
      </c>
    </row>
    <row r="211" spans="1:11" x14ac:dyDescent="0.3">
      <c r="A211" t="s">
        <v>815</v>
      </c>
      <c r="B211" s="10">
        <v>44383</v>
      </c>
      <c r="C211" t="s">
        <v>7</v>
      </c>
      <c r="D211" s="9" t="s">
        <v>527</v>
      </c>
      <c r="E211" s="42" t="s">
        <v>324</v>
      </c>
      <c r="F211" s="42" t="s">
        <v>299</v>
      </c>
      <c r="G211" s="42">
        <v>0.18958333333333338</v>
      </c>
      <c r="H211" s="12" t="s">
        <v>20</v>
      </c>
      <c r="I211">
        <v>91.000000000000014</v>
      </c>
      <c r="J211" t="s">
        <v>35</v>
      </c>
      <c r="K211" t="s">
        <v>18</v>
      </c>
    </row>
    <row r="212" spans="1:11" x14ac:dyDescent="0.3">
      <c r="A212" t="s">
        <v>816</v>
      </c>
      <c r="B212" s="10">
        <v>44459</v>
      </c>
      <c r="C212" t="s">
        <v>7</v>
      </c>
      <c r="D212" s="9" t="s">
        <v>528</v>
      </c>
      <c r="E212" s="42" t="s">
        <v>277</v>
      </c>
      <c r="F212" s="42" t="s">
        <v>38</v>
      </c>
      <c r="G212" s="42">
        <v>0.10416666666666669</v>
      </c>
      <c r="H212" s="12" t="s">
        <v>20</v>
      </c>
      <c r="I212">
        <v>50.000000000000007</v>
      </c>
      <c r="J212" t="s">
        <v>35</v>
      </c>
      <c r="K212" t="s">
        <v>18</v>
      </c>
    </row>
    <row r="213" spans="1:11" x14ac:dyDescent="0.3">
      <c r="A213" t="s">
        <v>817</v>
      </c>
      <c r="B213" s="10">
        <v>44448</v>
      </c>
      <c r="C213" t="s">
        <v>10</v>
      </c>
      <c r="D213" s="9" t="s">
        <v>529</v>
      </c>
      <c r="E213" s="42" t="s">
        <v>530</v>
      </c>
      <c r="F213" s="42" t="s">
        <v>531</v>
      </c>
      <c r="G213" s="42">
        <v>0.22569444444444453</v>
      </c>
      <c r="H213" s="12" t="s">
        <v>20</v>
      </c>
      <c r="I213">
        <v>48.750000000000021</v>
      </c>
      <c r="J213" t="s">
        <v>24</v>
      </c>
      <c r="K213" t="s">
        <v>18</v>
      </c>
    </row>
    <row r="214" spans="1:11" x14ac:dyDescent="0.3">
      <c r="A214" t="s">
        <v>818</v>
      </c>
      <c r="B214" s="10">
        <v>44411</v>
      </c>
      <c r="C214" t="s">
        <v>9</v>
      </c>
      <c r="D214" s="9" t="s">
        <v>532</v>
      </c>
      <c r="E214" s="42" t="s">
        <v>533</v>
      </c>
      <c r="F214" s="42" t="s">
        <v>432</v>
      </c>
      <c r="G214" s="42">
        <v>0.22430555555555559</v>
      </c>
      <c r="H214" s="12" t="s">
        <v>20</v>
      </c>
      <c r="I214">
        <v>64.600000000000023</v>
      </c>
      <c r="J214" t="s">
        <v>57</v>
      </c>
      <c r="K214" t="s">
        <v>18</v>
      </c>
    </row>
    <row r="215" spans="1:11" x14ac:dyDescent="0.3">
      <c r="A215" t="s">
        <v>819</v>
      </c>
      <c r="B215" s="10">
        <v>44384</v>
      </c>
      <c r="C215" t="s">
        <v>7</v>
      </c>
      <c r="D215" s="9" t="s">
        <v>534</v>
      </c>
      <c r="E215" s="42" t="s">
        <v>324</v>
      </c>
      <c r="F215" s="42" t="s">
        <v>52</v>
      </c>
      <c r="G215" s="42">
        <v>0.25277777777777782</v>
      </c>
      <c r="H215" s="12" t="s">
        <v>20</v>
      </c>
      <c r="I215">
        <v>121.33333333333337</v>
      </c>
      <c r="J215" t="s">
        <v>35</v>
      </c>
      <c r="K215" t="s">
        <v>18</v>
      </c>
    </row>
    <row r="216" spans="1:11" x14ac:dyDescent="0.3">
      <c r="A216" t="s">
        <v>820</v>
      </c>
      <c r="B216" s="10">
        <v>44424</v>
      </c>
      <c r="C216" t="s">
        <v>7</v>
      </c>
      <c r="D216" s="9" t="s">
        <v>535</v>
      </c>
      <c r="E216" s="42" t="s">
        <v>69</v>
      </c>
      <c r="F216" s="42" t="s">
        <v>206</v>
      </c>
      <c r="G216" s="42">
        <v>0.22916666666666663</v>
      </c>
      <c r="H216" s="12" t="s">
        <v>31</v>
      </c>
      <c r="I216">
        <v>109.99999999999999</v>
      </c>
      <c r="J216" t="s">
        <v>53</v>
      </c>
      <c r="K216" t="s">
        <v>18</v>
      </c>
    </row>
    <row r="217" spans="1:11" x14ac:dyDescent="0.3">
      <c r="A217" t="s">
        <v>821</v>
      </c>
      <c r="B217" s="10">
        <v>44430</v>
      </c>
      <c r="C217" t="s">
        <v>7</v>
      </c>
      <c r="D217" s="9" t="s">
        <v>536</v>
      </c>
      <c r="E217" s="42" t="s">
        <v>537</v>
      </c>
      <c r="F217" s="42" t="s">
        <v>363</v>
      </c>
      <c r="G217" s="42">
        <v>5.5555555555555636E-2</v>
      </c>
      <c r="H217" s="12" t="s">
        <v>20</v>
      </c>
      <c r="I217">
        <v>26.666666666666707</v>
      </c>
      <c r="J217" t="s">
        <v>117</v>
      </c>
      <c r="K217" t="s">
        <v>18</v>
      </c>
    </row>
    <row r="218" spans="1:11" x14ac:dyDescent="0.3">
      <c r="A218" t="s">
        <v>822</v>
      </c>
      <c r="B218" s="10">
        <v>44381</v>
      </c>
      <c r="C218" t="s">
        <v>9</v>
      </c>
      <c r="D218" s="9" t="s">
        <v>538</v>
      </c>
      <c r="E218" s="42" t="s">
        <v>539</v>
      </c>
      <c r="F218" s="42" t="s">
        <v>519</v>
      </c>
      <c r="G218" s="42">
        <v>0.2277777777777778</v>
      </c>
      <c r="H218" s="12" t="s">
        <v>31</v>
      </c>
      <c r="I218">
        <v>65.599999999999994</v>
      </c>
      <c r="J218" t="s">
        <v>53</v>
      </c>
      <c r="K218" t="s">
        <v>18</v>
      </c>
    </row>
    <row r="219" spans="1:11" x14ac:dyDescent="0.3">
      <c r="A219" t="s">
        <v>823</v>
      </c>
      <c r="B219" s="10">
        <v>44378</v>
      </c>
      <c r="C219" t="s">
        <v>8</v>
      </c>
      <c r="D219" s="9" t="s">
        <v>540</v>
      </c>
      <c r="E219" s="42" t="s">
        <v>29</v>
      </c>
      <c r="F219" s="42" t="s">
        <v>412</v>
      </c>
      <c r="G219" s="42">
        <v>0.17638888888888893</v>
      </c>
      <c r="H219" s="12" t="s">
        <v>31</v>
      </c>
      <c r="I219">
        <v>63.500000000000014</v>
      </c>
      <c r="J219" t="s">
        <v>17</v>
      </c>
      <c r="K219" t="s">
        <v>18</v>
      </c>
    </row>
    <row r="220" spans="1:11" x14ac:dyDescent="0.3">
      <c r="A220" t="s">
        <v>824</v>
      </c>
      <c r="B220" s="10">
        <v>44390</v>
      </c>
      <c r="C220" t="s">
        <v>10</v>
      </c>
      <c r="D220" s="9" t="s">
        <v>541</v>
      </c>
      <c r="E220" s="42" t="s">
        <v>404</v>
      </c>
      <c r="F220" s="42" t="s">
        <v>102</v>
      </c>
      <c r="G220" s="42">
        <v>0.14236111111111105</v>
      </c>
      <c r="H220" s="12" t="s">
        <v>20</v>
      </c>
      <c r="I220">
        <v>30.749999999999986</v>
      </c>
      <c r="J220" t="s">
        <v>35</v>
      </c>
      <c r="K220" t="s">
        <v>18</v>
      </c>
    </row>
    <row r="221" spans="1:11" x14ac:dyDescent="0.3">
      <c r="A221" t="s">
        <v>825</v>
      </c>
      <c r="B221" s="10">
        <v>44363</v>
      </c>
      <c r="C221" t="s">
        <v>9</v>
      </c>
      <c r="D221" s="9" t="s">
        <v>542</v>
      </c>
      <c r="E221" s="42" t="s">
        <v>203</v>
      </c>
      <c r="F221" s="42" t="s">
        <v>148</v>
      </c>
      <c r="G221" s="42">
        <v>0.23749999999999999</v>
      </c>
      <c r="H221" s="12" t="s">
        <v>31</v>
      </c>
      <c r="I221">
        <v>68.399999999999991</v>
      </c>
      <c r="J221" t="s">
        <v>49</v>
      </c>
      <c r="K221" t="s">
        <v>18</v>
      </c>
    </row>
    <row r="222" spans="1:11" x14ac:dyDescent="0.3">
      <c r="A222" t="s">
        <v>826</v>
      </c>
      <c r="B222" s="10">
        <v>44419</v>
      </c>
      <c r="C222" t="s">
        <v>7</v>
      </c>
      <c r="D222" s="9" t="s">
        <v>543</v>
      </c>
      <c r="E222" s="42" t="s">
        <v>365</v>
      </c>
      <c r="F222" s="42" t="s">
        <v>544</v>
      </c>
      <c r="G222" s="42">
        <v>0.18124999999999997</v>
      </c>
      <c r="H222" s="12" t="s">
        <v>31</v>
      </c>
      <c r="I222">
        <v>87</v>
      </c>
      <c r="J222" t="s">
        <v>53</v>
      </c>
      <c r="K222" t="s">
        <v>18</v>
      </c>
    </row>
    <row r="223" spans="1:11" x14ac:dyDescent="0.3">
      <c r="A223" t="s">
        <v>827</v>
      </c>
      <c r="B223" s="10">
        <v>44370</v>
      </c>
      <c r="C223" t="s">
        <v>8</v>
      </c>
      <c r="D223" s="9" t="s">
        <v>545</v>
      </c>
      <c r="E223" s="42" t="s">
        <v>546</v>
      </c>
      <c r="F223" s="42" t="s">
        <v>126</v>
      </c>
      <c r="G223" s="42">
        <v>6.3194444444444497E-2</v>
      </c>
      <c r="H223" s="12" t="s">
        <v>20</v>
      </c>
      <c r="I223">
        <v>22.750000000000018</v>
      </c>
      <c r="J223" t="s">
        <v>49</v>
      </c>
      <c r="K223" t="s">
        <v>18</v>
      </c>
    </row>
    <row r="224" spans="1:11" x14ac:dyDescent="0.3">
      <c r="A224" t="s">
        <v>828</v>
      </c>
      <c r="B224" s="10">
        <v>44362</v>
      </c>
      <c r="C224" t="s">
        <v>9</v>
      </c>
      <c r="D224" s="9" t="s">
        <v>547</v>
      </c>
      <c r="E224" s="42" t="s">
        <v>548</v>
      </c>
      <c r="F224" s="42" t="s">
        <v>83</v>
      </c>
      <c r="G224" s="42">
        <v>0.27708333333333329</v>
      </c>
      <c r="H224" s="12" t="s">
        <v>31</v>
      </c>
      <c r="I224">
        <v>79.799999999999983</v>
      </c>
      <c r="J224" t="s">
        <v>42</v>
      </c>
      <c r="K224" t="s">
        <v>18</v>
      </c>
    </row>
    <row r="225" spans="1:11" x14ac:dyDescent="0.3">
      <c r="A225" t="s">
        <v>829</v>
      </c>
      <c r="B225" s="10">
        <v>44418</v>
      </c>
      <c r="C225" t="s">
        <v>8</v>
      </c>
      <c r="D225" s="9" t="s">
        <v>549</v>
      </c>
      <c r="E225" s="42" t="s">
        <v>356</v>
      </c>
      <c r="F225" s="42" t="s">
        <v>550</v>
      </c>
      <c r="G225" s="42">
        <v>0.2909722222222223</v>
      </c>
      <c r="H225" s="12" t="s">
        <v>31</v>
      </c>
      <c r="I225">
        <v>104.75000000000003</v>
      </c>
      <c r="J225" t="s">
        <v>64</v>
      </c>
      <c r="K225" t="s">
        <v>18</v>
      </c>
    </row>
    <row r="226" spans="1:11" x14ac:dyDescent="0.3">
      <c r="A226" t="s">
        <v>830</v>
      </c>
      <c r="B226" s="10">
        <v>44348</v>
      </c>
      <c r="C226" t="s">
        <v>7</v>
      </c>
      <c r="D226" s="9" t="s">
        <v>551</v>
      </c>
      <c r="E226" s="42" t="s">
        <v>305</v>
      </c>
      <c r="F226" s="42" t="s">
        <v>552</v>
      </c>
      <c r="G226" s="42">
        <v>0.2013888888888889</v>
      </c>
      <c r="H226" s="12" t="s">
        <v>31</v>
      </c>
      <c r="I226">
        <v>96.666666666666686</v>
      </c>
      <c r="J226" t="s">
        <v>77</v>
      </c>
      <c r="K226" t="s">
        <v>18</v>
      </c>
    </row>
    <row r="227" spans="1:11" x14ac:dyDescent="0.3">
      <c r="A227" t="s">
        <v>831</v>
      </c>
      <c r="B227" s="10">
        <v>44465</v>
      </c>
      <c r="C227" t="s">
        <v>7</v>
      </c>
      <c r="D227" s="9" t="s">
        <v>553</v>
      </c>
      <c r="E227" s="42" t="s">
        <v>554</v>
      </c>
      <c r="F227" s="42" t="s">
        <v>333</v>
      </c>
      <c r="G227" s="42">
        <v>0.21111111111111108</v>
      </c>
      <c r="H227" s="12" t="s">
        <v>31</v>
      </c>
      <c r="I227">
        <v>101.33333333333333</v>
      </c>
      <c r="J227" t="s">
        <v>77</v>
      </c>
      <c r="K227" t="s">
        <v>18</v>
      </c>
    </row>
    <row r="228" spans="1:11" x14ac:dyDescent="0.3">
      <c r="A228" t="s">
        <v>832</v>
      </c>
      <c r="B228" s="10">
        <v>44419</v>
      </c>
      <c r="C228" t="s">
        <v>7</v>
      </c>
      <c r="D228" s="9" t="s">
        <v>555</v>
      </c>
      <c r="E228" s="42" t="s">
        <v>556</v>
      </c>
      <c r="F228" s="42" t="s">
        <v>557</v>
      </c>
      <c r="G228" s="42">
        <v>8.7499999999999967E-2</v>
      </c>
      <c r="H228" s="12" t="s">
        <v>31</v>
      </c>
      <c r="I228">
        <v>41.999999999999986</v>
      </c>
      <c r="J228" t="s">
        <v>24</v>
      </c>
      <c r="K228" t="s">
        <v>18</v>
      </c>
    </row>
    <row r="229" spans="1:11" x14ac:dyDescent="0.3">
      <c r="A229" t="s">
        <v>833</v>
      </c>
      <c r="B229" s="10">
        <v>44361</v>
      </c>
      <c r="C229" t="s">
        <v>7</v>
      </c>
      <c r="D229" s="9" t="s">
        <v>558</v>
      </c>
      <c r="E229" s="42" t="s">
        <v>236</v>
      </c>
      <c r="F229" s="42" t="s">
        <v>559</v>
      </c>
      <c r="G229" s="42">
        <v>0.10486111111111102</v>
      </c>
      <c r="H229" s="12" t="s">
        <v>20</v>
      </c>
      <c r="I229">
        <v>50.333333333333286</v>
      </c>
      <c r="J229" t="s">
        <v>35</v>
      </c>
      <c r="K229" t="s">
        <v>18</v>
      </c>
    </row>
    <row r="230" spans="1:11" x14ac:dyDescent="0.3">
      <c r="A230" t="s">
        <v>834</v>
      </c>
      <c r="B230" s="10">
        <v>44361</v>
      </c>
      <c r="C230" t="s">
        <v>7</v>
      </c>
      <c r="D230" s="9" t="s">
        <v>560</v>
      </c>
      <c r="E230" s="42" t="s">
        <v>561</v>
      </c>
      <c r="F230" s="42" t="s">
        <v>154</v>
      </c>
      <c r="G230" s="42">
        <v>0.19305555555555559</v>
      </c>
      <c r="H230" s="12" t="s">
        <v>20</v>
      </c>
      <c r="I230">
        <v>92.666666666666686</v>
      </c>
      <c r="J230" t="s">
        <v>106</v>
      </c>
      <c r="K230" t="s">
        <v>18</v>
      </c>
    </row>
    <row r="231" spans="1:11" x14ac:dyDescent="0.3">
      <c r="A231" t="s">
        <v>835</v>
      </c>
      <c r="B231" s="10">
        <v>44378</v>
      </c>
      <c r="C231" t="s">
        <v>10</v>
      </c>
      <c r="D231" s="9" t="s">
        <v>562</v>
      </c>
      <c r="E231" s="42" t="s">
        <v>252</v>
      </c>
      <c r="F231" s="42" t="s">
        <v>105</v>
      </c>
      <c r="G231" s="42">
        <v>0.24999999999999994</v>
      </c>
      <c r="H231" s="12" t="s">
        <v>31</v>
      </c>
      <c r="I231">
        <v>53.999999999999986</v>
      </c>
      <c r="J231" t="s">
        <v>53</v>
      </c>
      <c r="K231" t="s">
        <v>18</v>
      </c>
    </row>
    <row r="232" spans="1:11" x14ac:dyDescent="0.3">
      <c r="A232" t="s">
        <v>836</v>
      </c>
      <c r="B232" s="10">
        <v>44410</v>
      </c>
      <c r="C232" t="s">
        <v>10</v>
      </c>
      <c r="D232" s="9" t="s">
        <v>563</v>
      </c>
      <c r="E232" s="42" t="s">
        <v>132</v>
      </c>
      <c r="F232" s="42" t="s">
        <v>190</v>
      </c>
      <c r="G232" s="42">
        <v>0.2590277777777778</v>
      </c>
      <c r="H232" s="12" t="s">
        <v>20</v>
      </c>
      <c r="I232">
        <v>55.95</v>
      </c>
      <c r="J232" t="s">
        <v>64</v>
      </c>
      <c r="K232" t="s">
        <v>18</v>
      </c>
    </row>
    <row r="233" spans="1:11" x14ac:dyDescent="0.3">
      <c r="A233" t="s">
        <v>837</v>
      </c>
      <c r="B233" s="10">
        <v>44375</v>
      </c>
      <c r="C233" t="s">
        <v>10</v>
      </c>
      <c r="D233" s="9" t="s">
        <v>564</v>
      </c>
      <c r="E233" s="42" t="s">
        <v>29</v>
      </c>
      <c r="F233" s="42" t="s">
        <v>565</v>
      </c>
      <c r="G233" s="42">
        <v>0.10972222222222228</v>
      </c>
      <c r="H233" s="12" t="s">
        <v>31</v>
      </c>
      <c r="I233">
        <v>23.70000000000001</v>
      </c>
      <c r="J233" t="s">
        <v>17</v>
      </c>
      <c r="K233" t="s">
        <v>18</v>
      </c>
    </row>
    <row r="234" spans="1:11" x14ac:dyDescent="0.3">
      <c r="A234" t="s">
        <v>838</v>
      </c>
      <c r="B234" s="10">
        <v>44434</v>
      </c>
      <c r="C234" t="s">
        <v>7</v>
      </c>
      <c r="D234" s="9" t="s">
        <v>566</v>
      </c>
      <c r="E234" s="42" t="s">
        <v>262</v>
      </c>
      <c r="F234" s="42" t="s">
        <v>567</v>
      </c>
      <c r="G234" s="42">
        <v>0.19236111111111115</v>
      </c>
      <c r="H234" s="12" t="s">
        <v>31</v>
      </c>
      <c r="I234">
        <v>92.333333333333343</v>
      </c>
      <c r="J234" t="s">
        <v>57</v>
      </c>
      <c r="K234" t="s">
        <v>18</v>
      </c>
    </row>
    <row r="235" spans="1:11" x14ac:dyDescent="0.3">
      <c r="A235" t="s">
        <v>839</v>
      </c>
      <c r="B235" s="10">
        <v>44460</v>
      </c>
      <c r="C235" t="s">
        <v>8</v>
      </c>
      <c r="D235" s="9" t="s">
        <v>568</v>
      </c>
      <c r="E235" s="42" t="s">
        <v>569</v>
      </c>
      <c r="F235" s="42" t="s">
        <v>163</v>
      </c>
      <c r="G235" s="42">
        <v>0.24861111111111117</v>
      </c>
      <c r="H235" s="12" t="s">
        <v>31</v>
      </c>
      <c r="I235">
        <v>89.500000000000028</v>
      </c>
      <c r="J235" t="s">
        <v>134</v>
      </c>
      <c r="K235" t="s">
        <v>18</v>
      </c>
    </row>
    <row r="236" spans="1:11" x14ac:dyDescent="0.3">
      <c r="A236" t="s">
        <v>840</v>
      </c>
      <c r="B236" s="10">
        <v>44400</v>
      </c>
      <c r="C236" t="s">
        <v>9</v>
      </c>
      <c r="D236" s="9" t="s">
        <v>570</v>
      </c>
      <c r="E236" s="42" t="s">
        <v>571</v>
      </c>
      <c r="F236" s="42" t="s">
        <v>166</v>
      </c>
      <c r="G236" s="42">
        <v>5.0694444444444486E-2</v>
      </c>
      <c r="H236" s="12" t="s">
        <v>20</v>
      </c>
      <c r="I236">
        <v>14.600000000000012</v>
      </c>
      <c r="J236" t="s">
        <v>17</v>
      </c>
      <c r="K236" t="s">
        <v>18</v>
      </c>
    </row>
    <row r="237" spans="1:11" x14ac:dyDescent="0.3">
      <c r="A237" t="s">
        <v>841</v>
      </c>
      <c r="B237" s="10">
        <v>44363</v>
      </c>
      <c r="C237" t="s">
        <v>10</v>
      </c>
      <c r="D237" s="9" t="s">
        <v>572</v>
      </c>
      <c r="E237" s="42" t="s">
        <v>377</v>
      </c>
      <c r="F237" s="42" t="s">
        <v>573</v>
      </c>
      <c r="G237" s="42">
        <v>0.27361111111111108</v>
      </c>
      <c r="H237" s="12" t="s">
        <v>20</v>
      </c>
      <c r="I237">
        <v>59.099999999999994</v>
      </c>
      <c r="J237" t="s">
        <v>53</v>
      </c>
      <c r="K237" t="s">
        <v>18</v>
      </c>
    </row>
    <row r="238" spans="1:11" x14ac:dyDescent="0.3">
      <c r="A238" t="s">
        <v>842</v>
      </c>
      <c r="B238" s="10">
        <v>44380</v>
      </c>
      <c r="C238" t="s">
        <v>10</v>
      </c>
      <c r="D238" s="9" t="s">
        <v>574</v>
      </c>
      <c r="E238" s="42" t="s">
        <v>132</v>
      </c>
      <c r="F238" s="42" t="s">
        <v>163</v>
      </c>
      <c r="G238" s="42">
        <v>0.26458333333333334</v>
      </c>
      <c r="H238" s="12" t="s">
        <v>31</v>
      </c>
      <c r="I238">
        <v>57.15</v>
      </c>
      <c r="J238" t="s">
        <v>77</v>
      </c>
      <c r="K238" t="s">
        <v>18</v>
      </c>
    </row>
    <row r="239" spans="1:11" x14ac:dyDescent="0.3">
      <c r="A239" t="s">
        <v>843</v>
      </c>
      <c r="B239" s="10">
        <v>44355</v>
      </c>
      <c r="C239" t="s">
        <v>10</v>
      </c>
      <c r="D239" s="9" t="s">
        <v>575</v>
      </c>
      <c r="E239" s="42" t="s">
        <v>576</v>
      </c>
      <c r="F239" s="42" t="s">
        <v>193</v>
      </c>
      <c r="G239" s="42">
        <v>0.19791666666666663</v>
      </c>
      <c r="H239" s="12" t="s">
        <v>31</v>
      </c>
      <c r="I239">
        <v>42.749999999999993</v>
      </c>
      <c r="J239" t="s">
        <v>96</v>
      </c>
      <c r="K239" t="s">
        <v>18</v>
      </c>
    </row>
    <row r="240" spans="1:11" x14ac:dyDescent="0.3">
      <c r="A240" t="s">
        <v>844</v>
      </c>
      <c r="B240" s="10">
        <v>44359</v>
      </c>
      <c r="C240" t="s">
        <v>8</v>
      </c>
      <c r="D240" s="9" t="s">
        <v>577</v>
      </c>
      <c r="E240" s="42" t="s">
        <v>578</v>
      </c>
      <c r="F240" s="42" t="s">
        <v>112</v>
      </c>
      <c r="G240" s="42">
        <v>0.18263888888888885</v>
      </c>
      <c r="H240" s="12" t="s">
        <v>31</v>
      </c>
      <c r="I240">
        <v>65.75</v>
      </c>
      <c r="J240" t="s">
        <v>64</v>
      </c>
      <c r="K240" t="s">
        <v>18</v>
      </c>
    </row>
    <row r="241" spans="1:11" x14ac:dyDescent="0.3">
      <c r="A241" t="s">
        <v>845</v>
      </c>
      <c r="B241" s="10">
        <v>44369</v>
      </c>
      <c r="C241" t="s">
        <v>7</v>
      </c>
      <c r="D241" s="9" t="s">
        <v>579</v>
      </c>
      <c r="E241" s="42" t="s">
        <v>580</v>
      </c>
      <c r="F241" s="42" t="s">
        <v>581</v>
      </c>
      <c r="G241" s="42">
        <v>4.6527777777777779E-2</v>
      </c>
      <c r="H241" s="12" t="s">
        <v>31</v>
      </c>
      <c r="I241">
        <v>22.333333333333336</v>
      </c>
      <c r="J241" t="s">
        <v>64</v>
      </c>
      <c r="K241" t="s">
        <v>18</v>
      </c>
    </row>
    <row r="242" spans="1:11" x14ac:dyDescent="0.3">
      <c r="A242" t="s">
        <v>846</v>
      </c>
      <c r="B242" s="10">
        <v>44413</v>
      </c>
      <c r="C242" t="s">
        <v>9</v>
      </c>
      <c r="D242" s="9" t="s">
        <v>582</v>
      </c>
      <c r="E242" s="42" t="s">
        <v>516</v>
      </c>
      <c r="F242" s="42" t="s">
        <v>395</v>
      </c>
      <c r="G242" s="42">
        <v>0.13194444444444436</v>
      </c>
      <c r="H242" s="12" t="s">
        <v>31</v>
      </c>
      <c r="I242">
        <v>37.999999999999979</v>
      </c>
      <c r="J242" t="s">
        <v>35</v>
      </c>
      <c r="K242" t="s">
        <v>18</v>
      </c>
    </row>
    <row r="243" spans="1:11" x14ac:dyDescent="0.3">
      <c r="A243" t="s">
        <v>847</v>
      </c>
      <c r="B243" s="10">
        <v>44422</v>
      </c>
      <c r="C243" t="s">
        <v>9</v>
      </c>
      <c r="D243" s="9" t="s">
        <v>583</v>
      </c>
      <c r="E243" s="42" t="s">
        <v>580</v>
      </c>
      <c r="F243" s="42" t="s">
        <v>217</v>
      </c>
      <c r="G243" s="42">
        <v>0.19375000000000003</v>
      </c>
      <c r="H243" s="12" t="s">
        <v>31</v>
      </c>
      <c r="I243">
        <v>55.800000000000004</v>
      </c>
      <c r="J243" t="s">
        <v>117</v>
      </c>
      <c r="K243" t="s">
        <v>18</v>
      </c>
    </row>
    <row r="244" spans="1:11" x14ac:dyDescent="0.3">
      <c r="A244" t="s">
        <v>848</v>
      </c>
      <c r="B244" s="10">
        <v>44379</v>
      </c>
      <c r="C244" t="s">
        <v>8</v>
      </c>
      <c r="D244" s="9" t="s">
        <v>584</v>
      </c>
      <c r="E244" s="42" t="s">
        <v>585</v>
      </c>
      <c r="F244" s="42" t="s">
        <v>371</v>
      </c>
      <c r="G244" s="42">
        <v>0.21250000000000008</v>
      </c>
      <c r="H244" s="12" t="s">
        <v>31</v>
      </c>
      <c r="I244">
        <v>76.500000000000028</v>
      </c>
      <c r="J244" t="s">
        <v>90</v>
      </c>
      <c r="K244" t="s">
        <v>18</v>
      </c>
    </row>
    <row r="245" spans="1:11" x14ac:dyDescent="0.3">
      <c r="A245" t="s">
        <v>849</v>
      </c>
      <c r="B245" s="10">
        <v>44369</v>
      </c>
      <c r="C245" t="s">
        <v>8</v>
      </c>
      <c r="D245" s="9" t="s">
        <v>586</v>
      </c>
      <c r="E245" s="42" t="s">
        <v>180</v>
      </c>
      <c r="F245" s="42" t="s">
        <v>587</v>
      </c>
      <c r="G245" s="42">
        <v>0.1125000000000001</v>
      </c>
      <c r="H245" s="12" t="s">
        <v>20</v>
      </c>
      <c r="I245">
        <v>40.500000000000036</v>
      </c>
      <c r="J245" t="s">
        <v>64</v>
      </c>
      <c r="K245" t="s">
        <v>18</v>
      </c>
    </row>
    <row r="246" spans="1:11" x14ac:dyDescent="0.3">
      <c r="A246" t="s">
        <v>850</v>
      </c>
      <c r="B246" s="10">
        <v>44385</v>
      </c>
      <c r="C246" t="s">
        <v>8</v>
      </c>
      <c r="D246" s="9" t="s">
        <v>588</v>
      </c>
      <c r="E246" s="42" t="s">
        <v>589</v>
      </c>
      <c r="F246" s="42" t="s">
        <v>470</v>
      </c>
      <c r="G246" s="42">
        <v>0.2277777777777778</v>
      </c>
      <c r="H246" s="12" t="s">
        <v>31</v>
      </c>
      <c r="I246">
        <v>82</v>
      </c>
      <c r="J246" t="s">
        <v>64</v>
      </c>
      <c r="K246" t="s">
        <v>18</v>
      </c>
    </row>
    <row r="247" spans="1:11" x14ac:dyDescent="0.3">
      <c r="A247" t="s">
        <v>851</v>
      </c>
      <c r="B247" s="10">
        <v>44357</v>
      </c>
      <c r="C247" t="s">
        <v>7</v>
      </c>
      <c r="D247" s="9" t="s">
        <v>590</v>
      </c>
      <c r="E247" s="42" t="s">
        <v>591</v>
      </c>
      <c r="F247" s="42" t="s">
        <v>592</v>
      </c>
      <c r="G247" s="42">
        <v>0.21180555555555552</v>
      </c>
      <c r="H247" s="12" t="s">
        <v>31</v>
      </c>
      <c r="I247">
        <v>101.66666666666664</v>
      </c>
      <c r="J247" t="s">
        <v>134</v>
      </c>
      <c r="K247" t="s">
        <v>18</v>
      </c>
    </row>
    <row r="248" spans="1:11" x14ac:dyDescent="0.3">
      <c r="A248" t="s">
        <v>852</v>
      </c>
      <c r="B248" s="10">
        <v>44452</v>
      </c>
      <c r="C248" t="s">
        <v>9</v>
      </c>
      <c r="D248" s="9" t="s">
        <v>593</v>
      </c>
      <c r="E248" s="42" t="s">
        <v>101</v>
      </c>
      <c r="F248" s="42" t="s">
        <v>594</v>
      </c>
      <c r="G248" s="42">
        <v>0.21388888888888891</v>
      </c>
      <c r="H248" s="12" t="s">
        <v>20</v>
      </c>
      <c r="I248">
        <v>61.600000000000009</v>
      </c>
      <c r="J248" t="s">
        <v>53</v>
      </c>
      <c r="K248" t="s">
        <v>18</v>
      </c>
    </row>
    <row r="249" spans="1:11" x14ac:dyDescent="0.3">
      <c r="A249" t="s">
        <v>853</v>
      </c>
      <c r="B249" s="10">
        <v>44369</v>
      </c>
      <c r="C249" t="s">
        <v>8</v>
      </c>
      <c r="D249" s="9" t="s">
        <v>595</v>
      </c>
      <c r="E249" s="42" t="s">
        <v>221</v>
      </c>
      <c r="F249" s="42" t="s">
        <v>531</v>
      </c>
      <c r="G249" s="42">
        <v>0.23402777777777783</v>
      </c>
      <c r="H249" s="12" t="s">
        <v>20</v>
      </c>
      <c r="I249">
        <v>84.250000000000014</v>
      </c>
      <c r="J249" t="s">
        <v>96</v>
      </c>
      <c r="K249" t="s">
        <v>18</v>
      </c>
    </row>
    <row r="250" spans="1:11" x14ac:dyDescent="0.3">
      <c r="A250" t="s">
        <v>854</v>
      </c>
      <c r="B250" s="10">
        <v>44461</v>
      </c>
      <c r="C250" t="s">
        <v>9</v>
      </c>
      <c r="D250" s="9" t="s">
        <v>596</v>
      </c>
      <c r="E250" s="42" t="s">
        <v>516</v>
      </c>
      <c r="F250" s="42" t="s">
        <v>176</v>
      </c>
      <c r="G250" s="42">
        <v>0.10833333333333334</v>
      </c>
      <c r="H250" s="12" t="s">
        <v>31</v>
      </c>
      <c r="I250">
        <v>31.200000000000003</v>
      </c>
      <c r="J250" t="s">
        <v>77</v>
      </c>
      <c r="K250" t="s">
        <v>18</v>
      </c>
    </row>
    <row r="251" spans="1:11" x14ac:dyDescent="0.3">
      <c r="A251" t="s">
        <v>855</v>
      </c>
      <c r="B251" s="10">
        <v>44445</v>
      </c>
      <c r="C251" t="s">
        <v>9</v>
      </c>
      <c r="D251" s="9" t="s">
        <v>597</v>
      </c>
      <c r="E251" s="42" t="s">
        <v>598</v>
      </c>
      <c r="F251" s="42" t="s">
        <v>599</v>
      </c>
      <c r="G251" s="42">
        <v>0.35694444444444445</v>
      </c>
      <c r="H251" s="12" t="s">
        <v>20</v>
      </c>
      <c r="I251">
        <v>102.8</v>
      </c>
      <c r="J251" t="s">
        <v>49</v>
      </c>
      <c r="K251" t="s">
        <v>18</v>
      </c>
    </row>
    <row r="252" spans="1:11" x14ac:dyDescent="0.3">
      <c r="A252" t="s">
        <v>856</v>
      </c>
      <c r="B252" s="10">
        <v>44364</v>
      </c>
      <c r="C252" t="s">
        <v>8</v>
      </c>
      <c r="D252" s="9" t="s">
        <v>600</v>
      </c>
      <c r="E252" s="42" t="s">
        <v>601</v>
      </c>
      <c r="F252" s="42" t="s">
        <v>209</v>
      </c>
      <c r="G252" s="42">
        <v>0.24236111111111114</v>
      </c>
      <c r="H252" s="12" t="s">
        <v>31</v>
      </c>
      <c r="I252">
        <v>87.250000000000014</v>
      </c>
      <c r="J252" t="s">
        <v>90</v>
      </c>
      <c r="K252" t="s">
        <v>18</v>
      </c>
    </row>
    <row r="253" spans="1:11" x14ac:dyDescent="0.3">
      <c r="A253" t="s">
        <v>857</v>
      </c>
      <c r="B253" s="10">
        <v>44397</v>
      </c>
      <c r="C253" t="s">
        <v>8</v>
      </c>
      <c r="D253" s="9" t="s">
        <v>602</v>
      </c>
      <c r="E253" s="42" t="s">
        <v>360</v>
      </c>
      <c r="F253" s="42" t="s">
        <v>603</v>
      </c>
      <c r="G253" s="42">
        <v>0.1784722222222222</v>
      </c>
      <c r="H253" s="12" t="s">
        <v>20</v>
      </c>
      <c r="I253">
        <v>64.25</v>
      </c>
      <c r="J253" t="s">
        <v>49</v>
      </c>
      <c r="K253" t="s">
        <v>18</v>
      </c>
    </row>
    <row r="254" spans="1:11" x14ac:dyDescent="0.3">
      <c r="A254" t="s">
        <v>858</v>
      </c>
      <c r="B254" s="10">
        <v>44458</v>
      </c>
      <c r="C254" t="s">
        <v>7</v>
      </c>
      <c r="D254" s="9" t="s">
        <v>604</v>
      </c>
      <c r="E254" s="42" t="s">
        <v>605</v>
      </c>
      <c r="F254" s="42" t="s">
        <v>215</v>
      </c>
      <c r="G254" s="42">
        <v>0.15624999999999994</v>
      </c>
      <c r="H254" s="12" t="s">
        <v>20</v>
      </c>
      <c r="I254">
        <v>74.999999999999972</v>
      </c>
      <c r="J254" t="s">
        <v>49</v>
      </c>
      <c r="K254" t="s">
        <v>18</v>
      </c>
    </row>
    <row r="255" spans="1:11" x14ac:dyDescent="0.3">
      <c r="A255" t="s">
        <v>887</v>
      </c>
      <c r="B255" s="10">
        <v>44482</v>
      </c>
      <c r="C255" t="s">
        <v>888</v>
      </c>
      <c r="D255" s="9" t="s">
        <v>889</v>
      </c>
      <c r="E255" s="42" t="s">
        <v>890</v>
      </c>
      <c r="F255" s="42" t="s">
        <v>891</v>
      </c>
      <c r="G255" s="42">
        <v>1.8055555555555557E-2</v>
      </c>
      <c r="H255" s="12" t="s">
        <v>31</v>
      </c>
      <c r="I255">
        <v>8.67</v>
      </c>
      <c r="J255" t="s">
        <v>57</v>
      </c>
      <c r="K255" t="s">
        <v>18</v>
      </c>
    </row>
    <row r="256" spans="1:11" x14ac:dyDescent="0.3">
      <c r="B256" s="10"/>
    </row>
    <row r="257" spans="2:2" x14ac:dyDescent="0.3">
      <c r="B257" s="10"/>
    </row>
    <row r="258" spans="2:2" x14ac:dyDescent="0.3">
      <c r="B258" s="10"/>
    </row>
    <row r="259" spans="2:2" x14ac:dyDescent="0.3">
      <c r="B259" s="10"/>
    </row>
    <row r="260" spans="2:2" x14ac:dyDescent="0.3">
      <c r="B260" s="10"/>
    </row>
    <row r="261" spans="2:2" x14ac:dyDescent="0.3">
      <c r="B261" s="10"/>
    </row>
    <row r="262" spans="2:2" x14ac:dyDescent="0.3">
      <c r="B262" s="10"/>
    </row>
    <row r="263" spans="2:2" x14ac:dyDescent="0.3">
      <c r="B263" s="10"/>
    </row>
    <row r="264" spans="2:2" x14ac:dyDescent="0.3">
      <c r="B264" s="10"/>
    </row>
    <row r="265" spans="2:2" x14ac:dyDescent="0.3">
      <c r="B265" s="10"/>
    </row>
    <row r="266" spans="2:2" x14ac:dyDescent="0.3">
      <c r="B266" s="10"/>
    </row>
    <row r="267" spans="2:2" x14ac:dyDescent="0.3">
      <c r="B267" s="10"/>
    </row>
    <row r="268" spans="2:2" x14ac:dyDescent="0.3">
      <c r="B268" s="10"/>
    </row>
    <row r="269" spans="2:2" x14ac:dyDescent="0.3">
      <c r="B269" s="10"/>
    </row>
    <row r="270" spans="2:2" x14ac:dyDescent="0.3">
      <c r="B270" s="10"/>
    </row>
  </sheetData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document" Type="http://schemas.openxmlformats.org/officeDocument/2006/relationships/image" Target="images/48bb8790-46da-4105-a75d-42f52bd0fb37.png"/><Relationship Id="hidden" Type="http://schemas.openxmlformats.org/officeDocument/2006/relationships/image" Target="images/0cf406fe-6908-4d16-95fa-b7344bf5bf04.png"/></Relationships>
</file>

<file path=customUI/customUI.xml><?xml version="1.0" encoding="utf-8"?>
<customUI xmlns="http://schemas.microsoft.com/office/2006/01/customui">
  <ribbon>
    <tabs>
      <tab id="customTab" label="Estacionamento" insertAfterMso="TabDeveloper">
        <group id="customGroup1" label="Controle de estacionamento">
          <button id="customButton1" label="Formulário" size="large" onAction="abrirForm" image="document"/>
          <toggleButton id="customButton2" label="Mostrar/Ocultar Form." size="normal" onAction="showHideBD" image="hidde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BD (2)</vt:lpstr>
      <vt:lpstr>BD</vt:lpstr>
      <vt:lpstr>FILTRO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adonisss</dc:creator>
  <cp:lastModifiedBy>adonisss</cp:lastModifiedBy>
  <dcterms:created xsi:type="dcterms:W3CDTF">2021-10-01T22:46:19Z</dcterms:created>
  <dcterms:modified xsi:type="dcterms:W3CDTF">2021-10-13T07:49:57Z</dcterms:modified>
</cp:coreProperties>
</file>