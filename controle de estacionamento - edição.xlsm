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181f960d4c9542b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onisss\Documents\"/>
    </mc:Choice>
  </mc:AlternateContent>
  <xr:revisionPtr revIDLastSave="0" documentId="13_ncr:1_{3C0435B1-B756-4C6C-AB30-977D7A57FF05}" xr6:coauthVersionLast="47" xr6:coauthVersionMax="47" xr10:uidLastSave="{00000000-0000-0000-0000-000000000000}"/>
  <bookViews>
    <workbookView xWindow="-108" yWindow="-108" windowWidth="23256" windowHeight="12576" firstSheet="1" activeTab="1" xr2:uid="{088A350E-3EC6-4D95-B9A7-AEAD31E5F2FE}"/>
  </bookViews>
  <sheets>
    <sheet name="BD (2)" sheetId="9" state="hidden" r:id="rId1"/>
    <sheet name="BD" sheetId="1" r:id="rId2"/>
    <sheet name="Planilha4" sheetId="8" r:id="rId3"/>
    <sheet name="Planilha2" sheetId="10" r:id="rId4"/>
    <sheet name="BDocupada" sheetId="2" state="veryHidden" r:id="rId5"/>
    <sheet name="BDlivre" sheetId="3" state="veryHidden" r:id="rId6"/>
  </sheets>
  <functionGroups builtInGroupCount="19"/>
  <definedNames>
    <definedName name="SegmentaçãodeDados_TAMANHO">#N/A</definedName>
  </definedNames>
  <calcPr calcId="181029"/>
  <pivotCaches>
    <pivotCache cacheId="11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0" i="9" l="1"/>
  <c r="I260" i="9"/>
  <c r="G260" i="9"/>
  <c r="F260" i="9"/>
  <c r="E260" i="9"/>
  <c r="D260" i="9"/>
  <c r="C260" i="9"/>
  <c r="B260" i="9"/>
  <c r="K259" i="9"/>
  <c r="I259" i="9"/>
  <c r="G259" i="9"/>
  <c r="F259" i="9"/>
  <c r="E259" i="9"/>
  <c r="D259" i="9"/>
  <c r="C259" i="9"/>
  <c r="B259" i="9"/>
  <c r="K258" i="9"/>
  <c r="I258" i="9"/>
  <c r="G258" i="9"/>
  <c r="F258" i="9"/>
  <c r="E258" i="9"/>
  <c r="D258" i="9"/>
  <c r="C258" i="9"/>
  <c r="B258" i="9"/>
  <c r="K257" i="9"/>
  <c r="I257" i="9"/>
  <c r="G257" i="9"/>
  <c r="F257" i="9"/>
  <c r="E257" i="9"/>
  <c r="D257" i="9"/>
  <c r="C257" i="9"/>
  <c r="B257" i="9"/>
  <c r="K256" i="9"/>
  <c r="I256" i="9"/>
  <c r="G256" i="9"/>
  <c r="F256" i="9"/>
  <c r="E256" i="9"/>
  <c r="D256" i="9"/>
  <c r="C256" i="9"/>
  <c r="B256" i="9"/>
  <c r="K255" i="9"/>
  <c r="I255" i="9"/>
  <c r="G255" i="9"/>
  <c r="F255" i="9"/>
  <c r="E255" i="9"/>
  <c r="D255" i="9"/>
  <c r="C255" i="9"/>
  <c r="B255" i="9"/>
  <c r="K254" i="9"/>
  <c r="I254" i="9"/>
  <c r="G254" i="9"/>
  <c r="F254" i="9"/>
  <c r="E254" i="9"/>
  <c r="D254" i="9"/>
  <c r="C254" i="9"/>
  <c r="B254" i="9"/>
  <c r="K253" i="9"/>
  <c r="I253" i="9"/>
  <c r="G253" i="9"/>
  <c r="F253" i="9"/>
  <c r="E253" i="9"/>
  <c r="D253" i="9"/>
  <c r="C253" i="9"/>
  <c r="B253" i="9"/>
  <c r="K252" i="9"/>
  <c r="I252" i="9"/>
  <c r="G252" i="9"/>
  <c r="F252" i="9"/>
  <c r="E252" i="9"/>
  <c r="D252" i="9"/>
  <c r="C252" i="9"/>
  <c r="B252" i="9"/>
  <c r="K251" i="9"/>
  <c r="I251" i="9"/>
  <c r="G251" i="9"/>
  <c r="F251" i="9"/>
  <c r="E251" i="9"/>
  <c r="D251" i="9"/>
  <c r="C251" i="9"/>
  <c r="B251" i="9"/>
  <c r="K250" i="9"/>
  <c r="I250" i="9"/>
  <c r="G250" i="9"/>
  <c r="F250" i="9"/>
  <c r="E250" i="9"/>
  <c r="D250" i="9"/>
  <c r="C250" i="9"/>
  <c r="B250" i="9"/>
  <c r="K249" i="9"/>
  <c r="I249" i="9"/>
  <c r="G249" i="9"/>
  <c r="F249" i="9"/>
  <c r="E249" i="9"/>
  <c r="D249" i="9"/>
  <c r="C249" i="9"/>
  <c r="B249" i="9"/>
  <c r="K248" i="9"/>
  <c r="I248" i="9"/>
  <c r="G248" i="9"/>
  <c r="F248" i="9"/>
  <c r="E248" i="9"/>
  <c r="D248" i="9"/>
  <c r="C248" i="9"/>
  <c r="B248" i="9"/>
  <c r="K247" i="9"/>
  <c r="I247" i="9"/>
  <c r="G247" i="9"/>
  <c r="F247" i="9"/>
  <c r="E247" i="9"/>
  <c r="D247" i="9"/>
  <c r="C247" i="9"/>
  <c r="B247" i="9"/>
  <c r="K246" i="9"/>
  <c r="I246" i="9"/>
  <c r="G246" i="9"/>
  <c r="F246" i="9"/>
  <c r="E246" i="9"/>
  <c r="D246" i="9"/>
  <c r="C246" i="9"/>
  <c r="B246" i="9"/>
  <c r="K245" i="9"/>
  <c r="I245" i="9"/>
  <c r="G245" i="9"/>
  <c r="F245" i="9"/>
  <c r="E245" i="9"/>
  <c r="D245" i="9"/>
  <c r="C245" i="9"/>
  <c r="B245" i="9"/>
  <c r="K244" i="9"/>
  <c r="I244" i="9"/>
  <c r="G244" i="9"/>
  <c r="F244" i="9"/>
  <c r="E244" i="9"/>
  <c r="D244" i="9"/>
  <c r="C244" i="9"/>
  <c r="B244" i="9"/>
  <c r="K243" i="9"/>
  <c r="I243" i="9"/>
  <c r="G243" i="9"/>
  <c r="F243" i="9"/>
  <c r="E243" i="9"/>
  <c r="D243" i="9"/>
  <c r="C243" i="9"/>
  <c r="B243" i="9"/>
  <c r="K242" i="9"/>
  <c r="I242" i="9"/>
  <c r="G242" i="9"/>
  <c r="F242" i="9"/>
  <c r="E242" i="9"/>
  <c r="D242" i="9"/>
  <c r="C242" i="9"/>
  <c r="B242" i="9"/>
  <c r="K241" i="9"/>
  <c r="I241" i="9"/>
  <c r="G241" i="9"/>
  <c r="F241" i="9"/>
  <c r="E241" i="9"/>
  <c r="D241" i="9"/>
  <c r="C241" i="9"/>
  <c r="B241" i="9"/>
  <c r="K240" i="9"/>
  <c r="I240" i="9"/>
  <c r="G240" i="9"/>
  <c r="F240" i="9"/>
  <c r="E240" i="9"/>
  <c r="D240" i="9"/>
  <c r="C240" i="9"/>
  <c r="B240" i="9"/>
  <c r="K239" i="9"/>
  <c r="I239" i="9"/>
  <c r="G239" i="9"/>
  <c r="F239" i="9"/>
  <c r="E239" i="9"/>
  <c r="D239" i="9"/>
  <c r="C239" i="9"/>
  <c r="B239" i="9"/>
  <c r="K238" i="9"/>
  <c r="I238" i="9"/>
  <c r="G238" i="9"/>
  <c r="F238" i="9"/>
  <c r="E238" i="9"/>
  <c r="D238" i="9"/>
  <c r="C238" i="9"/>
  <c r="B238" i="9"/>
  <c r="K237" i="9"/>
  <c r="I237" i="9"/>
  <c r="G237" i="9"/>
  <c r="F237" i="9"/>
  <c r="E237" i="9"/>
  <c r="D237" i="9"/>
  <c r="C237" i="9"/>
  <c r="B237" i="9"/>
  <c r="K236" i="9"/>
  <c r="I236" i="9"/>
  <c r="G236" i="9"/>
  <c r="F236" i="9"/>
  <c r="E236" i="9"/>
  <c r="D236" i="9"/>
  <c r="C236" i="9"/>
  <c r="B236" i="9"/>
  <c r="K235" i="9"/>
  <c r="I235" i="9"/>
  <c r="G235" i="9"/>
  <c r="F235" i="9"/>
  <c r="E235" i="9"/>
  <c r="D235" i="9"/>
  <c r="C235" i="9"/>
  <c r="B235" i="9"/>
  <c r="K234" i="9"/>
  <c r="I234" i="9"/>
  <c r="G234" i="9"/>
  <c r="F234" i="9"/>
  <c r="E234" i="9"/>
  <c r="D234" i="9"/>
  <c r="C234" i="9"/>
  <c r="B234" i="9"/>
  <c r="K233" i="9"/>
  <c r="I233" i="9"/>
  <c r="G233" i="9"/>
  <c r="F233" i="9"/>
  <c r="E233" i="9"/>
  <c r="D233" i="9"/>
  <c r="C233" i="9"/>
  <c r="B233" i="9"/>
  <c r="K232" i="9"/>
  <c r="I232" i="9"/>
  <c r="G232" i="9"/>
  <c r="F232" i="9"/>
  <c r="E232" i="9"/>
  <c r="D232" i="9"/>
  <c r="C232" i="9"/>
  <c r="B232" i="9"/>
  <c r="K231" i="9"/>
  <c r="I231" i="9"/>
  <c r="G231" i="9"/>
  <c r="F231" i="9"/>
  <c r="E231" i="9"/>
  <c r="D231" i="9"/>
  <c r="C231" i="9"/>
  <c r="B231" i="9"/>
  <c r="K230" i="9"/>
  <c r="I230" i="9"/>
  <c r="G230" i="9"/>
  <c r="F230" i="9"/>
  <c r="E230" i="9"/>
  <c r="D230" i="9"/>
  <c r="C230" i="9"/>
  <c r="B230" i="9"/>
  <c r="K229" i="9"/>
  <c r="I229" i="9"/>
  <c r="G229" i="9"/>
  <c r="F229" i="9"/>
  <c r="E229" i="9"/>
  <c r="D229" i="9"/>
  <c r="C229" i="9"/>
  <c r="B229" i="9"/>
  <c r="K228" i="9"/>
  <c r="I228" i="9"/>
  <c r="G228" i="9"/>
  <c r="F228" i="9"/>
  <c r="E228" i="9"/>
  <c r="D228" i="9"/>
  <c r="C228" i="9"/>
  <c r="B228" i="9"/>
  <c r="K227" i="9"/>
  <c r="I227" i="9"/>
  <c r="G227" i="9"/>
  <c r="F227" i="9"/>
  <c r="E227" i="9"/>
  <c r="D227" i="9"/>
  <c r="C227" i="9"/>
  <c r="B227" i="9"/>
  <c r="K226" i="9"/>
  <c r="I226" i="9"/>
  <c r="G226" i="9"/>
  <c r="F226" i="9"/>
  <c r="E226" i="9"/>
  <c r="D226" i="9"/>
  <c r="C226" i="9"/>
  <c r="B226" i="9"/>
  <c r="K225" i="9"/>
  <c r="I225" i="9"/>
  <c r="G225" i="9"/>
  <c r="F225" i="9"/>
  <c r="E225" i="9"/>
  <c r="D225" i="9"/>
  <c r="C225" i="9"/>
  <c r="B225" i="9"/>
  <c r="K224" i="9"/>
  <c r="I224" i="9"/>
  <c r="G224" i="9"/>
  <c r="F224" i="9"/>
  <c r="E224" i="9"/>
  <c r="D224" i="9"/>
  <c r="C224" i="9"/>
  <c r="B224" i="9"/>
  <c r="K223" i="9"/>
  <c r="I223" i="9"/>
  <c r="G223" i="9"/>
  <c r="F223" i="9"/>
  <c r="E223" i="9"/>
  <c r="D223" i="9"/>
  <c r="C223" i="9"/>
  <c r="B223" i="9"/>
  <c r="K222" i="9"/>
  <c r="I222" i="9"/>
  <c r="G222" i="9"/>
  <c r="F222" i="9"/>
  <c r="E222" i="9"/>
  <c r="D222" i="9"/>
  <c r="C222" i="9"/>
  <c r="B222" i="9"/>
  <c r="K221" i="9"/>
  <c r="I221" i="9"/>
  <c r="G221" i="9"/>
  <c r="F221" i="9"/>
  <c r="E221" i="9"/>
  <c r="D221" i="9"/>
  <c r="C221" i="9"/>
  <c r="B221" i="9"/>
  <c r="K220" i="9"/>
  <c r="I220" i="9"/>
  <c r="G220" i="9"/>
  <c r="F220" i="9"/>
  <c r="E220" i="9"/>
  <c r="D220" i="9"/>
  <c r="C220" i="9"/>
  <c r="B220" i="9"/>
  <c r="K219" i="9"/>
  <c r="I219" i="9"/>
  <c r="G219" i="9"/>
  <c r="F219" i="9"/>
  <c r="E219" i="9"/>
  <c r="D219" i="9"/>
  <c r="C219" i="9"/>
  <c r="B219" i="9"/>
  <c r="K218" i="9"/>
  <c r="I218" i="9"/>
  <c r="G218" i="9"/>
  <c r="F218" i="9"/>
  <c r="E218" i="9"/>
  <c r="D218" i="9"/>
  <c r="C218" i="9"/>
  <c r="B218" i="9"/>
  <c r="K217" i="9"/>
  <c r="I217" i="9"/>
  <c r="G217" i="9"/>
  <c r="F217" i="9"/>
  <c r="E217" i="9"/>
  <c r="D217" i="9"/>
  <c r="C217" i="9"/>
  <c r="B217" i="9"/>
  <c r="K216" i="9"/>
  <c r="I216" i="9"/>
  <c r="G216" i="9"/>
  <c r="F216" i="9"/>
  <c r="E216" i="9"/>
  <c r="D216" i="9"/>
  <c r="C216" i="9"/>
  <c r="B216" i="9"/>
  <c r="K215" i="9"/>
  <c r="I215" i="9"/>
  <c r="G215" i="9"/>
  <c r="F215" i="9"/>
  <c r="E215" i="9"/>
  <c r="D215" i="9"/>
  <c r="C215" i="9"/>
  <c r="B215" i="9"/>
  <c r="K214" i="9"/>
  <c r="I214" i="9"/>
  <c r="G214" i="9"/>
  <c r="F214" i="9"/>
  <c r="E214" i="9"/>
  <c r="D214" i="9"/>
  <c r="C214" i="9"/>
  <c r="B214" i="9"/>
  <c r="K213" i="9"/>
  <c r="I213" i="9"/>
  <c r="G213" i="9"/>
  <c r="F213" i="9"/>
  <c r="E213" i="9"/>
  <c r="D213" i="9"/>
  <c r="C213" i="9"/>
  <c r="B213" i="9"/>
  <c r="K212" i="9"/>
  <c r="I212" i="9"/>
  <c r="G212" i="9"/>
  <c r="F212" i="9"/>
  <c r="E212" i="9"/>
  <c r="D212" i="9"/>
  <c r="C212" i="9"/>
  <c r="B212" i="9"/>
  <c r="K211" i="9"/>
  <c r="I211" i="9"/>
  <c r="G211" i="9"/>
  <c r="F211" i="9"/>
  <c r="E211" i="9"/>
  <c r="D211" i="9"/>
  <c r="C211" i="9"/>
  <c r="B211" i="9"/>
  <c r="K210" i="9"/>
  <c r="I210" i="9"/>
  <c r="G210" i="9"/>
  <c r="F210" i="9"/>
  <c r="E210" i="9"/>
  <c r="D210" i="9"/>
  <c r="C210" i="9"/>
  <c r="B210" i="9"/>
  <c r="K209" i="9"/>
  <c r="I209" i="9"/>
  <c r="G209" i="9"/>
  <c r="F209" i="9"/>
  <c r="E209" i="9"/>
  <c r="D209" i="9"/>
  <c r="C209" i="9"/>
  <c r="B209" i="9"/>
  <c r="K208" i="9"/>
  <c r="I208" i="9"/>
  <c r="G208" i="9"/>
  <c r="F208" i="9"/>
  <c r="E208" i="9"/>
  <c r="D208" i="9"/>
  <c r="C208" i="9"/>
  <c r="B208" i="9"/>
  <c r="K207" i="9"/>
  <c r="I207" i="9"/>
  <c r="G207" i="9"/>
  <c r="F207" i="9"/>
  <c r="E207" i="9"/>
  <c r="D207" i="9"/>
  <c r="C207" i="9"/>
  <c r="B207" i="9"/>
  <c r="K206" i="9"/>
  <c r="I206" i="9"/>
  <c r="G206" i="9"/>
  <c r="F206" i="9"/>
  <c r="E206" i="9"/>
  <c r="D206" i="9"/>
  <c r="C206" i="9"/>
  <c r="B206" i="9"/>
  <c r="K205" i="9"/>
  <c r="I205" i="9"/>
  <c r="G205" i="9"/>
  <c r="F205" i="9"/>
  <c r="E205" i="9"/>
  <c r="D205" i="9"/>
  <c r="C205" i="9"/>
  <c r="B205" i="9"/>
  <c r="K204" i="9"/>
  <c r="I204" i="9"/>
  <c r="G204" i="9"/>
  <c r="F204" i="9"/>
  <c r="E204" i="9"/>
  <c r="D204" i="9"/>
  <c r="C204" i="9"/>
  <c r="B204" i="9"/>
  <c r="K203" i="9"/>
  <c r="I203" i="9"/>
  <c r="G203" i="9"/>
  <c r="F203" i="9"/>
  <c r="E203" i="9"/>
  <c r="D203" i="9"/>
  <c r="C203" i="9"/>
  <c r="B203" i="9"/>
  <c r="K202" i="9"/>
  <c r="I202" i="9"/>
  <c r="G202" i="9"/>
  <c r="F202" i="9"/>
  <c r="E202" i="9"/>
  <c r="D202" i="9"/>
  <c r="C202" i="9"/>
  <c r="B202" i="9"/>
  <c r="K201" i="9"/>
  <c r="I201" i="9"/>
  <c r="G201" i="9"/>
  <c r="F201" i="9"/>
  <c r="E201" i="9"/>
  <c r="D201" i="9"/>
  <c r="C201" i="9"/>
  <c r="B201" i="9"/>
  <c r="K200" i="9"/>
  <c r="I200" i="9"/>
  <c r="G200" i="9"/>
  <c r="F200" i="9"/>
  <c r="E200" i="9"/>
  <c r="D200" i="9"/>
  <c r="C200" i="9"/>
  <c r="B200" i="9"/>
  <c r="K199" i="9"/>
  <c r="I199" i="9"/>
  <c r="G199" i="9"/>
  <c r="F199" i="9"/>
  <c r="E199" i="9"/>
  <c r="D199" i="9"/>
  <c r="C199" i="9"/>
  <c r="B199" i="9"/>
  <c r="K198" i="9"/>
  <c r="I198" i="9"/>
  <c r="G198" i="9"/>
  <c r="F198" i="9"/>
  <c r="E198" i="9"/>
  <c r="D198" i="9"/>
  <c r="C198" i="9"/>
  <c r="B198" i="9"/>
  <c r="K197" i="9"/>
  <c r="I197" i="9"/>
  <c r="G197" i="9"/>
  <c r="F197" i="9"/>
  <c r="E197" i="9"/>
  <c r="D197" i="9"/>
  <c r="C197" i="9"/>
  <c r="B197" i="9"/>
  <c r="K196" i="9"/>
  <c r="I196" i="9"/>
  <c r="G196" i="9"/>
  <c r="F196" i="9"/>
  <c r="E196" i="9"/>
  <c r="D196" i="9"/>
  <c r="C196" i="9"/>
  <c r="B196" i="9"/>
  <c r="K195" i="9"/>
  <c r="I195" i="9"/>
  <c r="G195" i="9"/>
  <c r="F195" i="9"/>
  <c r="E195" i="9"/>
  <c r="D195" i="9"/>
  <c r="C195" i="9"/>
  <c r="B195" i="9"/>
  <c r="K194" i="9"/>
  <c r="I194" i="9"/>
  <c r="G194" i="9"/>
  <c r="F194" i="9"/>
  <c r="E194" i="9"/>
  <c r="D194" i="9"/>
  <c r="C194" i="9"/>
  <c r="B194" i="9"/>
  <c r="K193" i="9"/>
  <c r="I193" i="9"/>
  <c r="G193" i="9"/>
  <c r="F193" i="9"/>
  <c r="E193" i="9"/>
  <c r="D193" i="9"/>
  <c r="C193" i="9"/>
  <c r="B193" i="9"/>
  <c r="K192" i="9"/>
  <c r="I192" i="9"/>
  <c r="G192" i="9"/>
  <c r="F192" i="9"/>
  <c r="E192" i="9"/>
  <c r="D192" i="9"/>
  <c r="C192" i="9"/>
  <c r="B192" i="9"/>
  <c r="K191" i="9"/>
  <c r="I191" i="9"/>
  <c r="G191" i="9"/>
  <c r="F191" i="9"/>
  <c r="E191" i="9"/>
  <c r="D191" i="9"/>
  <c r="C191" i="9"/>
  <c r="B191" i="9"/>
  <c r="K190" i="9"/>
  <c r="I190" i="9"/>
  <c r="G190" i="9"/>
  <c r="F190" i="9"/>
  <c r="E190" i="9"/>
  <c r="D190" i="9"/>
  <c r="C190" i="9"/>
  <c r="B190" i="9"/>
  <c r="K189" i="9"/>
  <c r="I189" i="9"/>
  <c r="G189" i="9"/>
  <c r="F189" i="9"/>
  <c r="E189" i="9"/>
  <c r="D189" i="9"/>
  <c r="C189" i="9"/>
  <c r="B189" i="9"/>
  <c r="K188" i="9"/>
  <c r="I188" i="9"/>
  <c r="G188" i="9"/>
  <c r="F188" i="9"/>
  <c r="E188" i="9"/>
  <c r="D188" i="9"/>
  <c r="C188" i="9"/>
  <c r="B188" i="9"/>
  <c r="K187" i="9"/>
  <c r="I187" i="9"/>
  <c r="G187" i="9"/>
  <c r="F187" i="9"/>
  <c r="E187" i="9"/>
  <c r="D187" i="9"/>
  <c r="C187" i="9"/>
  <c r="B187" i="9"/>
  <c r="K186" i="9"/>
  <c r="I186" i="9"/>
  <c r="G186" i="9"/>
  <c r="F186" i="9"/>
  <c r="E186" i="9"/>
  <c r="D186" i="9"/>
  <c r="C186" i="9"/>
  <c r="B186" i="9"/>
  <c r="K185" i="9"/>
  <c r="I185" i="9"/>
  <c r="G185" i="9"/>
  <c r="F185" i="9"/>
  <c r="E185" i="9"/>
  <c r="D185" i="9"/>
  <c r="C185" i="9"/>
  <c r="B185" i="9"/>
  <c r="K184" i="9"/>
  <c r="I184" i="9"/>
  <c r="G184" i="9"/>
  <c r="F184" i="9"/>
  <c r="E184" i="9"/>
  <c r="D184" i="9"/>
  <c r="C184" i="9"/>
  <c r="B184" i="9"/>
  <c r="K183" i="9"/>
  <c r="I183" i="9"/>
  <c r="G183" i="9"/>
  <c r="F183" i="9"/>
  <c r="E183" i="9"/>
  <c r="D183" i="9"/>
  <c r="C183" i="9"/>
  <c r="B183" i="9"/>
  <c r="K182" i="9"/>
  <c r="I182" i="9"/>
  <c r="G182" i="9"/>
  <c r="F182" i="9"/>
  <c r="E182" i="9"/>
  <c r="D182" i="9"/>
  <c r="C182" i="9"/>
  <c r="B182" i="9"/>
  <c r="K181" i="9"/>
  <c r="I181" i="9"/>
  <c r="G181" i="9"/>
  <c r="F181" i="9"/>
  <c r="E181" i="9"/>
  <c r="D181" i="9"/>
  <c r="C181" i="9"/>
  <c r="B181" i="9"/>
  <c r="K180" i="9"/>
  <c r="I180" i="9"/>
  <c r="G180" i="9"/>
  <c r="F180" i="9"/>
  <c r="E180" i="9"/>
  <c r="D180" i="9"/>
  <c r="C180" i="9"/>
  <c r="B180" i="9"/>
  <c r="K179" i="9"/>
  <c r="I179" i="9"/>
  <c r="G179" i="9"/>
  <c r="F179" i="9"/>
  <c r="E179" i="9"/>
  <c r="D179" i="9"/>
  <c r="C179" i="9"/>
  <c r="B179" i="9"/>
  <c r="K178" i="9"/>
  <c r="I178" i="9"/>
  <c r="G178" i="9"/>
  <c r="F178" i="9"/>
  <c r="E178" i="9"/>
  <c r="D178" i="9"/>
  <c r="C178" i="9"/>
  <c r="B178" i="9"/>
  <c r="K177" i="9"/>
  <c r="I177" i="9"/>
  <c r="G177" i="9"/>
  <c r="F177" i="9"/>
  <c r="E177" i="9"/>
  <c r="D177" i="9"/>
  <c r="C177" i="9"/>
  <c r="B177" i="9"/>
  <c r="K176" i="9"/>
  <c r="I176" i="9"/>
  <c r="G176" i="9"/>
  <c r="F176" i="9"/>
  <c r="E176" i="9"/>
  <c r="D176" i="9"/>
  <c r="C176" i="9"/>
  <c r="B176" i="9"/>
  <c r="K175" i="9"/>
  <c r="I175" i="9"/>
  <c r="G175" i="9"/>
  <c r="F175" i="9"/>
  <c r="E175" i="9"/>
  <c r="D175" i="9"/>
  <c r="C175" i="9"/>
  <c r="B175" i="9"/>
  <c r="K174" i="9"/>
  <c r="I174" i="9"/>
  <c r="G174" i="9"/>
  <c r="F174" i="9"/>
  <c r="E174" i="9"/>
  <c r="D174" i="9"/>
  <c r="C174" i="9"/>
  <c r="B174" i="9"/>
  <c r="K173" i="9"/>
  <c r="I173" i="9"/>
  <c r="G173" i="9"/>
  <c r="F173" i="9"/>
  <c r="E173" i="9"/>
  <c r="D173" i="9"/>
  <c r="C173" i="9"/>
  <c r="B173" i="9"/>
  <c r="K172" i="9"/>
  <c r="I172" i="9"/>
  <c r="G172" i="9"/>
  <c r="F172" i="9"/>
  <c r="E172" i="9"/>
  <c r="D172" i="9"/>
  <c r="C172" i="9"/>
  <c r="B172" i="9"/>
  <c r="K171" i="9"/>
  <c r="I171" i="9"/>
  <c r="G171" i="9"/>
  <c r="F171" i="9"/>
  <c r="E171" i="9"/>
  <c r="D171" i="9"/>
  <c r="C171" i="9"/>
  <c r="B171" i="9"/>
  <c r="K170" i="9"/>
  <c r="I170" i="9"/>
  <c r="G170" i="9"/>
  <c r="F170" i="9"/>
  <c r="E170" i="9"/>
  <c r="D170" i="9"/>
  <c r="C170" i="9"/>
  <c r="B170" i="9"/>
  <c r="K169" i="9"/>
  <c r="I169" i="9"/>
  <c r="G169" i="9"/>
  <c r="F169" i="9"/>
  <c r="E169" i="9"/>
  <c r="D169" i="9"/>
  <c r="C169" i="9"/>
  <c r="B169" i="9"/>
  <c r="K168" i="9"/>
  <c r="I168" i="9"/>
  <c r="G168" i="9"/>
  <c r="F168" i="9"/>
  <c r="E168" i="9"/>
  <c r="D168" i="9"/>
  <c r="C168" i="9"/>
  <c r="B168" i="9"/>
  <c r="K167" i="9"/>
  <c r="I167" i="9"/>
  <c r="G167" i="9"/>
  <c r="F167" i="9"/>
  <c r="E167" i="9"/>
  <c r="D167" i="9"/>
  <c r="C167" i="9"/>
  <c r="B167" i="9"/>
  <c r="K166" i="9"/>
  <c r="I166" i="9"/>
  <c r="G166" i="9"/>
  <c r="F166" i="9"/>
  <c r="E166" i="9"/>
  <c r="D166" i="9"/>
  <c r="C166" i="9"/>
  <c r="B166" i="9"/>
  <c r="K165" i="9"/>
  <c r="I165" i="9"/>
  <c r="G165" i="9"/>
  <c r="F165" i="9"/>
  <c r="E165" i="9"/>
  <c r="D165" i="9"/>
  <c r="C165" i="9"/>
  <c r="B165" i="9"/>
  <c r="K164" i="9"/>
  <c r="I164" i="9"/>
  <c r="G164" i="9"/>
  <c r="F164" i="9"/>
  <c r="E164" i="9"/>
  <c r="D164" i="9"/>
  <c r="C164" i="9"/>
  <c r="B164" i="9"/>
  <c r="K163" i="9"/>
  <c r="I163" i="9"/>
  <c r="G163" i="9"/>
  <c r="F163" i="9"/>
  <c r="E163" i="9"/>
  <c r="D163" i="9"/>
  <c r="C163" i="9"/>
  <c r="B163" i="9"/>
  <c r="K162" i="9"/>
  <c r="I162" i="9"/>
  <c r="G162" i="9"/>
  <c r="F162" i="9"/>
  <c r="E162" i="9"/>
  <c r="D162" i="9"/>
  <c r="C162" i="9"/>
  <c r="B162" i="9"/>
  <c r="K161" i="9"/>
  <c r="I161" i="9"/>
  <c r="G161" i="9"/>
  <c r="F161" i="9"/>
  <c r="E161" i="9"/>
  <c r="D161" i="9"/>
  <c r="C161" i="9"/>
  <c r="B161" i="9"/>
  <c r="K160" i="9"/>
  <c r="I160" i="9"/>
  <c r="G160" i="9"/>
  <c r="F160" i="9"/>
  <c r="E160" i="9"/>
  <c r="D160" i="9"/>
  <c r="C160" i="9"/>
  <c r="B160" i="9"/>
  <c r="K159" i="9"/>
  <c r="I159" i="9"/>
  <c r="G159" i="9"/>
  <c r="F159" i="9"/>
  <c r="E159" i="9"/>
  <c r="D159" i="9"/>
  <c r="C159" i="9"/>
  <c r="B159" i="9"/>
  <c r="K158" i="9"/>
  <c r="I158" i="9"/>
  <c r="G158" i="9"/>
  <c r="F158" i="9"/>
  <c r="E158" i="9"/>
  <c r="D158" i="9"/>
  <c r="C158" i="9"/>
  <c r="B158" i="9"/>
  <c r="K157" i="9"/>
  <c r="I157" i="9"/>
  <c r="G157" i="9"/>
  <c r="F157" i="9"/>
  <c r="E157" i="9"/>
  <c r="D157" i="9"/>
  <c r="C157" i="9"/>
  <c r="B157" i="9"/>
  <c r="K156" i="9"/>
  <c r="I156" i="9"/>
  <c r="G156" i="9"/>
  <c r="F156" i="9"/>
  <c r="E156" i="9"/>
  <c r="D156" i="9"/>
  <c r="C156" i="9"/>
  <c r="B156" i="9"/>
  <c r="K155" i="9"/>
  <c r="I155" i="9"/>
  <c r="G155" i="9"/>
  <c r="F155" i="9"/>
  <c r="E155" i="9"/>
  <c r="D155" i="9"/>
  <c r="C155" i="9"/>
  <c r="B155" i="9"/>
  <c r="K154" i="9"/>
  <c r="I154" i="9"/>
  <c r="G154" i="9"/>
  <c r="F154" i="9"/>
  <c r="E154" i="9"/>
  <c r="D154" i="9"/>
  <c r="C154" i="9"/>
  <c r="B154" i="9"/>
  <c r="K153" i="9"/>
  <c r="I153" i="9"/>
  <c r="G153" i="9"/>
  <c r="F153" i="9"/>
  <c r="E153" i="9"/>
  <c r="D153" i="9"/>
  <c r="C153" i="9"/>
  <c r="B153" i="9"/>
  <c r="K152" i="9"/>
  <c r="I152" i="9"/>
  <c r="G152" i="9"/>
  <c r="F152" i="9"/>
  <c r="E152" i="9"/>
  <c r="D152" i="9"/>
  <c r="C152" i="9"/>
  <c r="B152" i="9"/>
  <c r="K151" i="9"/>
  <c r="I151" i="9"/>
  <c r="G151" i="9"/>
  <c r="F151" i="9"/>
  <c r="E151" i="9"/>
  <c r="D151" i="9"/>
  <c r="C151" i="9"/>
  <c r="B151" i="9"/>
  <c r="K150" i="9"/>
  <c r="I150" i="9"/>
  <c r="G150" i="9"/>
  <c r="F150" i="9"/>
  <c r="E150" i="9"/>
  <c r="D150" i="9"/>
  <c r="C150" i="9"/>
  <c r="B150" i="9"/>
  <c r="K149" i="9"/>
  <c r="I149" i="9"/>
  <c r="G149" i="9"/>
  <c r="F149" i="9"/>
  <c r="E149" i="9"/>
  <c r="D149" i="9"/>
  <c r="C149" i="9"/>
  <c r="B149" i="9"/>
  <c r="K148" i="9"/>
  <c r="I148" i="9"/>
  <c r="G148" i="9"/>
  <c r="F148" i="9"/>
  <c r="E148" i="9"/>
  <c r="D148" i="9"/>
  <c r="C148" i="9"/>
  <c r="B148" i="9"/>
  <c r="K147" i="9"/>
  <c r="I147" i="9"/>
  <c r="G147" i="9"/>
  <c r="F147" i="9"/>
  <c r="E147" i="9"/>
  <c r="D147" i="9"/>
  <c r="C147" i="9"/>
  <c r="B147" i="9"/>
  <c r="K146" i="9"/>
  <c r="I146" i="9"/>
  <c r="G146" i="9"/>
  <c r="F146" i="9"/>
  <c r="E146" i="9"/>
  <c r="D146" i="9"/>
  <c r="C146" i="9"/>
  <c r="B146" i="9"/>
  <c r="K145" i="9"/>
  <c r="I145" i="9"/>
  <c r="G145" i="9"/>
  <c r="F145" i="9"/>
  <c r="E145" i="9"/>
  <c r="D145" i="9"/>
  <c r="C145" i="9"/>
  <c r="B145" i="9"/>
  <c r="K144" i="9"/>
  <c r="I144" i="9"/>
  <c r="G144" i="9"/>
  <c r="F144" i="9"/>
  <c r="E144" i="9"/>
  <c r="D144" i="9"/>
  <c r="C144" i="9"/>
  <c r="B144" i="9"/>
  <c r="K143" i="9"/>
  <c r="I143" i="9"/>
  <c r="G143" i="9"/>
  <c r="F143" i="9"/>
  <c r="E143" i="9"/>
  <c r="D143" i="9"/>
  <c r="C143" i="9"/>
  <c r="B143" i="9"/>
  <c r="K142" i="9"/>
  <c r="I142" i="9"/>
  <c r="G142" i="9"/>
  <c r="F142" i="9"/>
  <c r="E142" i="9"/>
  <c r="D142" i="9"/>
  <c r="C142" i="9"/>
  <c r="B142" i="9"/>
  <c r="K141" i="9"/>
  <c r="I141" i="9"/>
  <c r="G141" i="9"/>
  <c r="F141" i="9"/>
  <c r="E141" i="9"/>
  <c r="D141" i="9"/>
  <c r="C141" i="9"/>
  <c r="B141" i="9"/>
  <c r="K140" i="9"/>
  <c r="I140" i="9"/>
  <c r="G140" i="9"/>
  <c r="F140" i="9"/>
  <c r="E140" i="9"/>
  <c r="D140" i="9"/>
  <c r="C140" i="9"/>
  <c r="B140" i="9"/>
  <c r="K139" i="9"/>
  <c r="I139" i="9"/>
  <c r="G139" i="9"/>
  <c r="F139" i="9"/>
  <c r="E139" i="9"/>
  <c r="D139" i="9"/>
  <c r="C139" i="9"/>
  <c r="B139" i="9"/>
  <c r="K138" i="9"/>
  <c r="I138" i="9"/>
  <c r="G138" i="9"/>
  <c r="F138" i="9"/>
  <c r="E138" i="9"/>
  <c r="D138" i="9"/>
  <c r="C138" i="9"/>
  <c r="B138" i="9"/>
  <c r="K137" i="9"/>
  <c r="I137" i="9"/>
  <c r="G137" i="9"/>
  <c r="F137" i="9"/>
  <c r="E137" i="9"/>
  <c r="D137" i="9"/>
  <c r="C137" i="9"/>
  <c r="B137" i="9"/>
  <c r="K136" i="9"/>
  <c r="I136" i="9"/>
  <c r="G136" i="9"/>
  <c r="F136" i="9"/>
  <c r="E136" i="9"/>
  <c r="D136" i="9"/>
  <c r="C136" i="9"/>
  <c r="B136" i="9"/>
  <c r="K135" i="9"/>
  <c r="I135" i="9"/>
  <c r="G135" i="9"/>
  <c r="F135" i="9"/>
  <c r="E135" i="9"/>
  <c r="D135" i="9"/>
  <c r="C135" i="9"/>
  <c r="B135" i="9"/>
  <c r="K134" i="9"/>
  <c r="I134" i="9"/>
  <c r="G134" i="9"/>
  <c r="F134" i="9"/>
  <c r="E134" i="9"/>
  <c r="D134" i="9"/>
  <c r="C134" i="9"/>
  <c r="B134" i="9"/>
  <c r="K133" i="9"/>
  <c r="I133" i="9"/>
  <c r="G133" i="9"/>
  <c r="F133" i="9"/>
  <c r="E133" i="9"/>
  <c r="D133" i="9"/>
  <c r="C133" i="9"/>
  <c r="B133" i="9"/>
  <c r="K132" i="9"/>
  <c r="I132" i="9"/>
  <c r="G132" i="9"/>
  <c r="F132" i="9"/>
  <c r="E132" i="9"/>
  <c r="D132" i="9"/>
  <c r="C132" i="9"/>
  <c r="B132" i="9"/>
  <c r="K131" i="9"/>
  <c r="I131" i="9"/>
  <c r="G131" i="9"/>
  <c r="F131" i="9"/>
  <c r="E131" i="9"/>
  <c r="D131" i="9"/>
  <c r="C131" i="9"/>
  <c r="B131" i="9"/>
  <c r="K130" i="9"/>
  <c r="I130" i="9"/>
  <c r="G130" i="9"/>
  <c r="F130" i="9"/>
  <c r="E130" i="9"/>
  <c r="D130" i="9"/>
  <c r="C130" i="9"/>
  <c r="B130" i="9"/>
  <c r="K129" i="9"/>
  <c r="I129" i="9"/>
  <c r="G129" i="9"/>
  <c r="F129" i="9"/>
  <c r="E129" i="9"/>
  <c r="D129" i="9"/>
  <c r="C129" i="9"/>
  <c r="B129" i="9"/>
  <c r="K128" i="9"/>
  <c r="I128" i="9"/>
  <c r="G128" i="9"/>
  <c r="F128" i="9"/>
  <c r="E128" i="9"/>
  <c r="D128" i="9"/>
  <c r="C128" i="9"/>
  <c r="B128" i="9"/>
  <c r="K127" i="9"/>
  <c r="I127" i="9"/>
  <c r="G127" i="9"/>
  <c r="F127" i="9"/>
  <c r="E127" i="9"/>
  <c r="D127" i="9"/>
  <c r="C127" i="9"/>
  <c r="B127" i="9"/>
  <c r="K126" i="9"/>
  <c r="I126" i="9"/>
  <c r="G126" i="9"/>
  <c r="F126" i="9"/>
  <c r="E126" i="9"/>
  <c r="D126" i="9"/>
  <c r="C126" i="9"/>
  <c r="B126" i="9"/>
  <c r="K125" i="9"/>
  <c r="I125" i="9"/>
  <c r="G125" i="9"/>
  <c r="F125" i="9"/>
  <c r="E125" i="9"/>
  <c r="D125" i="9"/>
  <c r="C125" i="9"/>
  <c r="B125" i="9"/>
  <c r="K124" i="9"/>
  <c r="I124" i="9"/>
  <c r="G124" i="9"/>
  <c r="F124" i="9"/>
  <c r="E124" i="9"/>
  <c r="D124" i="9"/>
  <c r="C124" i="9"/>
  <c r="B124" i="9"/>
  <c r="K123" i="9"/>
  <c r="I123" i="9"/>
  <c r="G123" i="9"/>
  <c r="F123" i="9"/>
  <c r="E123" i="9"/>
  <c r="D123" i="9"/>
  <c r="C123" i="9"/>
  <c r="B123" i="9"/>
  <c r="K122" i="9"/>
  <c r="I122" i="9"/>
  <c r="G122" i="9"/>
  <c r="F122" i="9"/>
  <c r="E122" i="9"/>
  <c r="D122" i="9"/>
  <c r="C122" i="9"/>
  <c r="B122" i="9"/>
  <c r="K121" i="9"/>
  <c r="I121" i="9"/>
  <c r="G121" i="9"/>
  <c r="F121" i="9"/>
  <c r="E121" i="9"/>
  <c r="D121" i="9"/>
  <c r="C121" i="9"/>
  <c r="B121" i="9"/>
  <c r="K120" i="9"/>
  <c r="I120" i="9"/>
  <c r="G120" i="9"/>
  <c r="F120" i="9"/>
  <c r="E120" i="9"/>
  <c r="D120" i="9"/>
  <c r="C120" i="9"/>
  <c r="B120" i="9"/>
  <c r="K119" i="9"/>
  <c r="I119" i="9"/>
  <c r="G119" i="9"/>
  <c r="F119" i="9"/>
  <c r="E119" i="9"/>
  <c r="D119" i="9"/>
  <c r="C119" i="9"/>
  <c r="B119" i="9"/>
  <c r="K118" i="9"/>
  <c r="I118" i="9"/>
  <c r="G118" i="9"/>
  <c r="F118" i="9"/>
  <c r="E118" i="9"/>
  <c r="D118" i="9"/>
  <c r="C118" i="9"/>
  <c r="B118" i="9"/>
  <c r="K117" i="9"/>
  <c r="I117" i="9"/>
  <c r="G117" i="9"/>
  <c r="F117" i="9"/>
  <c r="E117" i="9"/>
  <c r="D117" i="9"/>
  <c r="C117" i="9"/>
  <c r="B117" i="9"/>
  <c r="K116" i="9"/>
  <c r="I116" i="9"/>
  <c r="G116" i="9"/>
  <c r="F116" i="9"/>
  <c r="E116" i="9"/>
  <c r="D116" i="9"/>
  <c r="C116" i="9"/>
  <c r="B116" i="9"/>
  <c r="K115" i="9"/>
  <c r="I115" i="9"/>
  <c r="G115" i="9"/>
  <c r="F115" i="9"/>
  <c r="E115" i="9"/>
  <c r="D115" i="9"/>
  <c r="C115" i="9"/>
  <c r="B115" i="9"/>
  <c r="K114" i="9"/>
  <c r="I114" i="9"/>
  <c r="G114" i="9"/>
  <c r="F114" i="9"/>
  <c r="E114" i="9"/>
  <c r="D114" i="9"/>
  <c r="C114" i="9"/>
  <c r="B114" i="9"/>
  <c r="K113" i="9"/>
  <c r="I113" i="9"/>
  <c r="G113" i="9"/>
  <c r="F113" i="9"/>
  <c r="E113" i="9"/>
  <c r="D113" i="9"/>
  <c r="C113" i="9"/>
  <c r="B113" i="9"/>
  <c r="K112" i="9"/>
  <c r="I112" i="9"/>
  <c r="G112" i="9"/>
  <c r="F112" i="9"/>
  <c r="E112" i="9"/>
  <c r="D112" i="9"/>
  <c r="C112" i="9"/>
  <c r="B112" i="9"/>
  <c r="K111" i="9"/>
  <c r="I111" i="9"/>
  <c r="G111" i="9"/>
  <c r="F111" i="9"/>
  <c r="E111" i="9"/>
  <c r="D111" i="9"/>
  <c r="C111" i="9"/>
  <c r="B111" i="9"/>
  <c r="K110" i="9"/>
  <c r="I110" i="9"/>
  <c r="G110" i="9"/>
  <c r="F110" i="9"/>
  <c r="E110" i="9"/>
  <c r="D110" i="9"/>
  <c r="C110" i="9"/>
  <c r="B110" i="9"/>
  <c r="K109" i="9"/>
  <c r="I109" i="9"/>
  <c r="G109" i="9"/>
  <c r="F109" i="9"/>
  <c r="E109" i="9"/>
  <c r="D109" i="9"/>
  <c r="C109" i="9"/>
  <c r="B109" i="9"/>
  <c r="K108" i="9"/>
  <c r="I108" i="9"/>
  <c r="G108" i="9"/>
  <c r="F108" i="9"/>
  <c r="E108" i="9"/>
  <c r="D108" i="9"/>
  <c r="C108" i="9"/>
  <c r="B108" i="9"/>
  <c r="K107" i="9"/>
  <c r="I107" i="9"/>
  <c r="G107" i="9"/>
  <c r="F107" i="9"/>
  <c r="E107" i="9"/>
  <c r="D107" i="9"/>
  <c r="C107" i="9"/>
  <c r="B107" i="9"/>
  <c r="K106" i="9"/>
  <c r="I106" i="9"/>
  <c r="G106" i="9"/>
  <c r="F106" i="9"/>
  <c r="E106" i="9"/>
  <c r="D106" i="9"/>
  <c r="C106" i="9"/>
  <c r="B106" i="9"/>
  <c r="K105" i="9"/>
  <c r="I105" i="9"/>
  <c r="G105" i="9"/>
  <c r="F105" i="9"/>
  <c r="E105" i="9"/>
  <c r="D105" i="9"/>
  <c r="C105" i="9"/>
  <c r="B105" i="9"/>
  <c r="K104" i="9"/>
  <c r="I104" i="9"/>
  <c r="G104" i="9"/>
  <c r="F104" i="9"/>
  <c r="E104" i="9"/>
  <c r="D104" i="9"/>
  <c r="C104" i="9"/>
  <c r="B104" i="9"/>
  <c r="K103" i="9"/>
  <c r="I103" i="9"/>
  <c r="G103" i="9"/>
  <c r="F103" i="9"/>
  <c r="E103" i="9"/>
  <c r="D103" i="9"/>
  <c r="C103" i="9"/>
  <c r="B103" i="9"/>
  <c r="K102" i="9"/>
  <c r="I102" i="9"/>
  <c r="G102" i="9"/>
  <c r="F102" i="9"/>
  <c r="E102" i="9"/>
  <c r="D102" i="9"/>
  <c r="C102" i="9"/>
  <c r="B102" i="9"/>
  <c r="K101" i="9"/>
  <c r="I101" i="9"/>
  <c r="G101" i="9"/>
  <c r="F101" i="9"/>
  <c r="E101" i="9"/>
  <c r="D101" i="9"/>
  <c r="C101" i="9"/>
  <c r="B101" i="9"/>
  <c r="K100" i="9"/>
  <c r="I100" i="9"/>
  <c r="G100" i="9"/>
  <c r="F100" i="9"/>
  <c r="E100" i="9"/>
  <c r="D100" i="9"/>
  <c r="C100" i="9"/>
  <c r="B100" i="9"/>
  <c r="K99" i="9"/>
  <c r="I99" i="9"/>
  <c r="G99" i="9"/>
  <c r="F99" i="9"/>
  <c r="E99" i="9"/>
  <c r="D99" i="9"/>
  <c r="C99" i="9"/>
  <c r="B99" i="9"/>
  <c r="K98" i="9"/>
  <c r="I98" i="9"/>
  <c r="G98" i="9"/>
  <c r="F98" i="9"/>
  <c r="E98" i="9"/>
  <c r="D98" i="9"/>
  <c r="C98" i="9"/>
  <c r="B98" i="9"/>
  <c r="K97" i="9"/>
  <c r="I97" i="9"/>
  <c r="G97" i="9"/>
  <c r="F97" i="9"/>
  <c r="E97" i="9"/>
  <c r="D97" i="9"/>
  <c r="C97" i="9"/>
  <c r="B97" i="9"/>
  <c r="K96" i="9"/>
  <c r="I96" i="9"/>
  <c r="G96" i="9"/>
  <c r="F96" i="9"/>
  <c r="E96" i="9"/>
  <c r="D96" i="9"/>
  <c r="C96" i="9"/>
  <c r="B96" i="9"/>
  <c r="K95" i="9"/>
  <c r="I95" i="9"/>
  <c r="G95" i="9"/>
  <c r="F95" i="9"/>
  <c r="E95" i="9"/>
  <c r="D95" i="9"/>
  <c r="C95" i="9"/>
  <c r="B95" i="9"/>
  <c r="K94" i="9"/>
  <c r="I94" i="9"/>
  <c r="G94" i="9"/>
  <c r="F94" i="9"/>
  <c r="E94" i="9"/>
  <c r="D94" i="9"/>
  <c r="C94" i="9"/>
  <c r="B94" i="9"/>
  <c r="K93" i="9"/>
  <c r="I93" i="9"/>
  <c r="G93" i="9"/>
  <c r="F93" i="9"/>
  <c r="E93" i="9"/>
  <c r="D93" i="9"/>
  <c r="C93" i="9"/>
  <c r="B93" i="9"/>
  <c r="K92" i="9"/>
  <c r="I92" i="9"/>
  <c r="G92" i="9"/>
  <c r="F92" i="9"/>
  <c r="E92" i="9"/>
  <c r="D92" i="9"/>
  <c r="C92" i="9"/>
  <c r="B92" i="9"/>
  <c r="K91" i="9"/>
  <c r="I91" i="9"/>
  <c r="G91" i="9"/>
  <c r="F91" i="9"/>
  <c r="E91" i="9"/>
  <c r="D91" i="9"/>
  <c r="C91" i="9"/>
  <c r="B91" i="9"/>
  <c r="K90" i="9"/>
  <c r="I90" i="9"/>
  <c r="G90" i="9"/>
  <c r="F90" i="9"/>
  <c r="E90" i="9"/>
  <c r="D90" i="9"/>
  <c r="C90" i="9"/>
  <c r="B90" i="9"/>
  <c r="K89" i="9"/>
  <c r="I89" i="9"/>
  <c r="G89" i="9"/>
  <c r="F89" i="9"/>
  <c r="E89" i="9"/>
  <c r="D89" i="9"/>
  <c r="C89" i="9"/>
  <c r="B89" i="9"/>
  <c r="K88" i="9"/>
  <c r="I88" i="9"/>
  <c r="G88" i="9"/>
  <c r="F88" i="9"/>
  <c r="E88" i="9"/>
  <c r="D88" i="9"/>
  <c r="C88" i="9"/>
  <c r="B88" i="9"/>
  <c r="K87" i="9"/>
  <c r="I87" i="9"/>
  <c r="G87" i="9"/>
  <c r="F87" i="9"/>
  <c r="E87" i="9"/>
  <c r="D87" i="9"/>
  <c r="C87" i="9"/>
  <c r="B87" i="9"/>
  <c r="K86" i="9"/>
  <c r="I86" i="9"/>
  <c r="G86" i="9"/>
  <c r="F86" i="9"/>
  <c r="E86" i="9"/>
  <c r="D86" i="9"/>
  <c r="C86" i="9"/>
  <c r="B86" i="9"/>
  <c r="K85" i="9"/>
  <c r="I85" i="9"/>
  <c r="G85" i="9"/>
  <c r="F85" i="9"/>
  <c r="E85" i="9"/>
  <c r="D85" i="9"/>
  <c r="C85" i="9"/>
  <c r="B85" i="9"/>
  <c r="K84" i="9"/>
  <c r="I84" i="9"/>
  <c r="G84" i="9"/>
  <c r="F84" i="9"/>
  <c r="E84" i="9"/>
  <c r="D84" i="9"/>
  <c r="C84" i="9"/>
  <c r="B84" i="9"/>
  <c r="K83" i="9"/>
  <c r="I83" i="9"/>
  <c r="G83" i="9"/>
  <c r="F83" i="9"/>
  <c r="E83" i="9"/>
  <c r="D83" i="9"/>
  <c r="C83" i="9"/>
  <c r="B83" i="9"/>
  <c r="K82" i="9"/>
  <c r="I82" i="9"/>
  <c r="G82" i="9"/>
  <c r="F82" i="9"/>
  <c r="E82" i="9"/>
  <c r="D82" i="9"/>
  <c r="C82" i="9"/>
  <c r="B82" i="9"/>
  <c r="K81" i="9"/>
  <c r="I81" i="9"/>
  <c r="G81" i="9"/>
  <c r="F81" i="9"/>
  <c r="E81" i="9"/>
  <c r="D81" i="9"/>
  <c r="C81" i="9"/>
  <c r="B81" i="9"/>
  <c r="K80" i="9"/>
  <c r="I80" i="9"/>
  <c r="G80" i="9"/>
  <c r="F80" i="9"/>
  <c r="E80" i="9"/>
  <c r="D80" i="9"/>
  <c r="C80" i="9"/>
  <c r="B80" i="9"/>
  <c r="K79" i="9"/>
  <c r="I79" i="9"/>
  <c r="G79" i="9"/>
  <c r="F79" i="9"/>
  <c r="E79" i="9"/>
  <c r="D79" i="9"/>
  <c r="C79" i="9"/>
  <c r="B79" i="9"/>
  <c r="K78" i="9"/>
  <c r="I78" i="9"/>
  <c r="G78" i="9"/>
  <c r="F78" i="9"/>
  <c r="E78" i="9"/>
  <c r="D78" i="9"/>
  <c r="C78" i="9"/>
  <c r="B78" i="9"/>
  <c r="K77" i="9"/>
  <c r="I77" i="9"/>
  <c r="G77" i="9"/>
  <c r="F77" i="9"/>
  <c r="E77" i="9"/>
  <c r="D77" i="9"/>
  <c r="C77" i="9"/>
  <c r="B77" i="9"/>
  <c r="K76" i="9"/>
  <c r="I76" i="9"/>
  <c r="G76" i="9"/>
  <c r="F76" i="9"/>
  <c r="E76" i="9"/>
  <c r="D76" i="9"/>
  <c r="C76" i="9"/>
  <c r="B76" i="9"/>
  <c r="K75" i="9"/>
  <c r="I75" i="9"/>
  <c r="G75" i="9"/>
  <c r="F75" i="9"/>
  <c r="E75" i="9"/>
  <c r="D75" i="9"/>
  <c r="C75" i="9"/>
  <c r="B75" i="9"/>
  <c r="K74" i="9"/>
  <c r="I74" i="9"/>
  <c r="G74" i="9"/>
  <c r="F74" i="9"/>
  <c r="E74" i="9"/>
  <c r="D74" i="9"/>
  <c r="C74" i="9"/>
  <c r="B74" i="9"/>
  <c r="K73" i="9"/>
  <c r="I73" i="9"/>
  <c r="G73" i="9"/>
  <c r="F73" i="9"/>
  <c r="E73" i="9"/>
  <c r="D73" i="9"/>
  <c r="C73" i="9"/>
  <c r="B73" i="9"/>
  <c r="K72" i="9"/>
  <c r="I72" i="9"/>
  <c r="G72" i="9"/>
  <c r="F72" i="9"/>
  <c r="E72" i="9"/>
  <c r="D72" i="9"/>
  <c r="C72" i="9"/>
  <c r="B72" i="9"/>
  <c r="K71" i="9"/>
  <c r="I71" i="9"/>
  <c r="G71" i="9"/>
  <c r="F71" i="9"/>
  <c r="E71" i="9"/>
  <c r="D71" i="9"/>
  <c r="C71" i="9"/>
  <c r="B71" i="9"/>
  <c r="K70" i="9"/>
  <c r="I70" i="9"/>
  <c r="G70" i="9"/>
  <c r="F70" i="9"/>
  <c r="E70" i="9"/>
  <c r="D70" i="9"/>
  <c r="C70" i="9"/>
  <c r="B70" i="9"/>
  <c r="K69" i="9"/>
  <c r="I69" i="9"/>
  <c r="G69" i="9"/>
  <c r="F69" i="9"/>
  <c r="E69" i="9"/>
  <c r="D69" i="9"/>
  <c r="C69" i="9"/>
  <c r="B69" i="9"/>
  <c r="K68" i="9"/>
  <c r="I68" i="9"/>
  <c r="G68" i="9"/>
  <c r="F68" i="9"/>
  <c r="E68" i="9"/>
  <c r="D68" i="9"/>
  <c r="C68" i="9"/>
  <c r="B68" i="9"/>
  <c r="K67" i="9"/>
  <c r="I67" i="9"/>
  <c r="G67" i="9"/>
  <c r="F67" i="9"/>
  <c r="E67" i="9"/>
  <c r="D67" i="9"/>
  <c r="C67" i="9"/>
  <c r="B67" i="9"/>
  <c r="K66" i="9"/>
  <c r="I66" i="9"/>
  <c r="G66" i="9"/>
  <c r="F66" i="9"/>
  <c r="E66" i="9"/>
  <c r="D66" i="9"/>
  <c r="C66" i="9"/>
  <c r="B66" i="9"/>
  <c r="K65" i="9"/>
  <c r="I65" i="9"/>
  <c r="G65" i="9"/>
  <c r="F65" i="9"/>
  <c r="E65" i="9"/>
  <c r="D65" i="9"/>
  <c r="C65" i="9"/>
  <c r="B65" i="9"/>
  <c r="K64" i="9"/>
  <c r="I64" i="9"/>
  <c r="G64" i="9"/>
  <c r="F64" i="9"/>
  <c r="E64" i="9"/>
  <c r="D64" i="9"/>
  <c r="C64" i="9"/>
  <c r="B64" i="9"/>
  <c r="K63" i="9"/>
  <c r="I63" i="9"/>
  <c r="G63" i="9"/>
  <c r="F63" i="9"/>
  <c r="E63" i="9"/>
  <c r="D63" i="9"/>
  <c r="C63" i="9"/>
  <c r="B63" i="9"/>
  <c r="K62" i="9"/>
  <c r="I62" i="9"/>
  <c r="G62" i="9"/>
  <c r="F62" i="9"/>
  <c r="E62" i="9"/>
  <c r="D62" i="9"/>
  <c r="C62" i="9"/>
  <c r="B62" i="9"/>
  <c r="K61" i="9"/>
  <c r="I61" i="9"/>
  <c r="G61" i="9"/>
  <c r="F61" i="9"/>
  <c r="E61" i="9"/>
  <c r="D61" i="9"/>
  <c r="C61" i="9"/>
  <c r="B61" i="9"/>
  <c r="K60" i="9"/>
  <c r="I60" i="9"/>
  <c r="G60" i="9"/>
  <c r="F60" i="9"/>
  <c r="E60" i="9"/>
  <c r="D60" i="9"/>
  <c r="C60" i="9"/>
  <c r="B60" i="9"/>
  <c r="K59" i="9"/>
  <c r="I59" i="9"/>
  <c r="G59" i="9"/>
  <c r="F59" i="9"/>
  <c r="E59" i="9"/>
  <c r="D59" i="9"/>
  <c r="C59" i="9"/>
  <c r="B59" i="9"/>
  <c r="K58" i="9"/>
  <c r="I58" i="9"/>
  <c r="G58" i="9"/>
  <c r="F58" i="9"/>
  <c r="E58" i="9"/>
  <c r="D58" i="9"/>
  <c r="C58" i="9"/>
  <c r="B58" i="9"/>
  <c r="K57" i="9"/>
  <c r="I57" i="9"/>
  <c r="G57" i="9"/>
  <c r="F57" i="9"/>
  <c r="E57" i="9"/>
  <c r="D57" i="9"/>
  <c r="C57" i="9"/>
  <c r="B57" i="9"/>
  <c r="K56" i="9"/>
  <c r="I56" i="9"/>
  <c r="G56" i="9"/>
  <c r="F56" i="9"/>
  <c r="E56" i="9"/>
  <c r="D56" i="9"/>
  <c r="C56" i="9"/>
  <c r="B56" i="9"/>
  <c r="K55" i="9"/>
  <c r="I55" i="9"/>
  <c r="G55" i="9"/>
  <c r="F55" i="9"/>
  <c r="E55" i="9"/>
  <c r="D55" i="9"/>
  <c r="C55" i="9"/>
  <c r="B55" i="9"/>
  <c r="K54" i="9"/>
  <c r="I54" i="9"/>
  <c r="G54" i="9"/>
  <c r="F54" i="9"/>
  <c r="E54" i="9"/>
  <c r="D54" i="9"/>
  <c r="C54" i="9"/>
  <c r="B54" i="9"/>
  <c r="K53" i="9"/>
  <c r="I53" i="9"/>
  <c r="G53" i="9"/>
  <c r="F53" i="9"/>
  <c r="E53" i="9"/>
  <c r="D53" i="9"/>
  <c r="C53" i="9"/>
  <c r="B53" i="9"/>
  <c r="K52" i="9"/>
  <c r="I52" i="9"/>
  <c r="G52" i="9"/>
  <c r="F52" i="9"/>
  <c r="E52" i="9"/>
  <c r="D52" i="9"/>
  <c r="C52" i="9"/>
  <c r="B52" i="9"/>
  <c r="K51" i="9"/>
  <c r="I51" i="9"/>
  <c r="G51" i="9"/>
  <c r="F51" i="9"/>
  <c r="E51" i="9"/>
  <c r="D51" i="9"/>
  <c r="C51" i="9"/>
  <c r="B51" i="9"/>
  <c r="K50" i="9"/>
  <c r="I50" i="9"/>
  <c r="G50" i="9"/>
  <c r="F50" i="9"/>
  <c r="E50" i="9"/>
  <c r="D50" i="9"/>
  <c r="C50" i="9"/>
  <c r="B50" i="9"/>
  <c r="K49" i="9"/>
  <c r="I49" i="9"/>
  <c r="G49" i="9"/>
  <c r="F49" i="9"/>
  <c r="E49" i="9"/>
  <c r="D49" i="9"/>
  <c r="C49" i="9"/>
  <c r="B49" i="9"/>
  <c r="K48" i="9"/>
  <c r="I48" i="9"/>
  <c r="G48" i="9"/>
  <c r="F48" i="9"/>
  <c r="E48" i="9"/>
  <c r="D48" i="9"/>
  <c r="C48" i="9"/>
  <c r="B48" i="9"/>
  <c r="K47" i="9"/>
  <c r="I47" i="9"/>
  <c r="G47" i="9"/>
  <c r="F47" i="9"/>
  <c r="E47" i="9"/>
  <c r="D47" i="9"/>
  <c r="C47" i="9"/>
  <c r="B47" i="9"/>
  <c r="K46" i="9"/>
  <c r="I46" i="9"/>
  <c r="G46" i="9"/>
  <c r="F46" i="9"/>
  <c r="E46" i="9"/>
  <c r="D46" i="9"/>
  <c r="C46" i="9"/>
  <c r="B46" i="9"/>
  <c r="K45" i="9"/>
  <c r="I45" i="9"/>
  <c r="G45" i="9"/>
  <c r="F45" i="9"/>
  <c r="E45" i="9"/>
  <c r="D45" i="9"/>
  <c r="C45" i="9"/>
  <c r="B45" i="9"/>
  <c r="K44" i="9"/>
  <c r="I44" i="9"/>
  <c r="G44" i="9"/>
  <c r="F44" i="9"/>
  <c r="E44" i="9"/>
  <c r="D44" i="9"/>
  <c r="C44" i="9"/>
  <c r="B44" i="9"/>
  <c r="K43" i="9"/>
  <c r="I43" i="9"/>
  <c r="G43" i="9"/>
  <c r="F43" i="9"/>
  <c r="E43" i="9"/>
  <c r="D43" i="9"/>
  <c r="C43" i="9"/>
  <c r="B43" i="9"/>
  <c r="K42" i="9"/>
  <c r="I42" i="9"/>
  <c r="G42" i="9"/>
  <c r="F42" i="9"/>
  <c r="E42" i="9"/>
  <c r="D42" i="9"/>
  <c r="C42" i="9"/>
  <c r="B42" i="9"/>
  <c r="K41" i="9"/>
  <c r="I41" i="9"/>
  <c r="G41" i="9"/>
  <c r="F41" i="9"/>
  <c r="E41" i="9"/>
  <c r="D41" i="9"/>
  <c r="C41" i="9"/>
  <c r="B41" i="9"/>
  <c r="K40" i="9"/>
  <c r="I40" i="9"/>
  <c r="G40" i="9"/>
  <c r="F40" i="9"/>
  <c r="E40" i="9"/>
  <c r="D40" i="9"/>
  <c r="C40" i="9"/>
  <c r="B40" i="9"/>
  <c r="K39" i="9"/>
  <c r="I39" i="9"/>
  <c r="G39" i="9"/>
  <c r="F39" i="9"/>
  <c r="E39" i="9"/>
  <c r="D39" i="9"/>
  <c r="C39" i="9"/>
  <c r="B39" i="9"/>
  <c r="K38" i="9"/>
  <c r="I38" i="9"/>
  <c r="G38" i="9"/>
  <c r="F38" i="9"/>
  <c r="E38" i="9"/>
  <c r="D38" i="9"/>
  <c r="C38" i="9"/>
  <c r="B38" i="9"/>
  <c r="K37" i="9"/>
  <c r="I37" i="9"/>
  <c r="G37" i="9"/>
  <c r="F37" i="9"/>
  <c r="E37" i="9"/>
  <c r="D37" i="9"/>
  <c r="C37" i="9"/>
  <c r="B37" i="9"/>
  <c r="K36" i="9"/>
  <c r="I36" i="9"/>
  <c r="G36" i="9"/>
  <c r="F36" i="9"/>
  <c r="E36" i="9"/>
  <c r="D36" i="9"/>
  <c r="C36" i="9"/>
  <c r="B36" i="9"/>
  <c r="K35" i="9"/>
  <c r="I35" i="9"/>
  <c r="G35" i="9"/>
  <c r="F35" i="9"/>
  <c r="E35" i="9"/>
  <c r="D35" i="9"/>
  <c r="C35" i="9"/>
  <c r="B35" i="9"/>
  <c r="K34" i="9"/>
  <c r="I34" i="9"/>
  <c r="G34" i="9"/>
  <c r="F34" i="9"/>
  <c r="E34" i="9"/>
  <c r="D34" i="9"/>
  <c r="C34" i="9"/>
  <c r="B34" i="9"/>
  <c r="K33" i="9"/>
  <c r="I33" i="9"/>
  <c r="G33" i="9"/>
  <c r="F33" i="9"/>
  <c r="E33" i="9"/>
  <c r="D33" i="9"/>
  <c r="C33" i="9"/>
  <c r="B33" i="9"/>
  <c r="K32" i="9"/>
  <c r="I32" i="9"/>
  <c r="G32" i="9"/>
  <c r="F32" i="9"/>
  <c r="E32" i="9"/>
  <c r="D32" i="9"/>
  <c r="C32" i="9"/>
  <c r="B32" i="9"/>
  <c r="K31" i="9"/>
  <c r="I31" i="9"/>
  <c r="G31" i="9"/>
  <c r="F31" i="9"/>
  <c r="E31" i="9"/>
  <c r="D31" i="9"/>
  <c r="C31" i="9"/>
  <c r="B31" i="9"/>
  <c r="K30" i="9"/>
  <c r="I30" i="9"/>
  <c r="G30" i="9"/>
  <c r="F30" i="9"/>
  <c r="E30" i="9"/>
  <c r="D30" i="9"/>
  <c r="C30" i="9"/>
  <c r="B30" i="9"/>
  <c r="K29" i="9"/>
  <c r="I29" i="9"/>
  <c r="G29" i="9"/>
  <c r="F29" i="9"/>
  <c r="E29" i="9"/>
  <c r="D29" i="9"/>
  <c r="C29" i="9"/>
  <c r="B29" i="9"/>
  <c r="K28" i="9"/>
  <c r="I28" i="9"/>
  <c r="G28" i="9"/>
  <c r="F28" i="9"/>
  <c r="E28" i="9"/>
  <c r="D28" i="9"/>
  <c r="C28" i="9"/>
  <c r="B28" i="9"/>
  <c r="K27" i="9"/>
  <c r="I27" i="9"/>
  <c r="G27" i="9"/>
  <c r="F27" i="9"/>
  <c r="E27" i="9"/>
  <c r="D27" i="9"/>
  <c r="C27" i="9"/>
  <c r="B27" i="9"/>
  <c r="K26" i="9"/>
  <c r="I26" i="9"/>
  <c r="G26" i="9"/>
  <c r="F26" i="9"/>
  <c r="E26" i="9"/>
  <c r="D26" i="9"/>
  <c r="C26" i="9"/>
  <c r="B26" i="9"/>
  <c r="K25" i="9"/>
  <c r="I25" i="9"/>
  <c r="G25" i="9"/>
  <c r="F25" i="9"/>
  <c r="E25" i="9"/>
  <c r="D25" i="9"/>
  <c r="C25" i="9"/>
  <c r="B25" i="9"/>
  <c r="K24" i="9"/>
  <c r="I24" i="9"/>
  <c r="G24" i="9"/>
  <c r="F24" i="9"/>
  <c r="E24" i="9"/>
  <c r="D24" i="9"/>
  <c r="C24" i="9"/>
  <c r="B24" i="9"/>
  <c r="K23" i="9"/>
  <c r="I23" i="9"/>
  <c r="G23" i="9"/>
  <c r="F23" i="9"/>
  <c r="E23" i="9"/>
  <c r="D23" i="9"/>
  <c r="C23" i="9"/>
  <c r="B23" i="9"/>
  <c r="K22" i="9"/>
  <c r="I22" i="9"/>
  <c r="G22" i="9"/>
  <c r="F22" i="9"/>
  <c r="E22" i="9"/>
  <c r="D22" i="9"/>
  <c r="C22" i="9"/>
  <c r="B22" i="9"/>
  <c r="K21" i="9"/>
  <c r="I21" i="9"/>
  <c r="G21" i="9"/>
  <c r="F21" i="9"/>
  <c r="E21" i="9"/>
  <c r="D21" i="9"/>
  <c r="C21" i="9"/>
  <c r="B21" i="9"/>
  <c r="K20" i="9"/>
  <c r="I20" i="9"/>
  <c r="G20" i="9"/>
  <c r="F20" i="9"/>
  <c r="E20" i="9"/>
  <c r="D20" i="9"/>
  <c r="C20" i="9"/>
  <c r="B20" i="9"/>
  <c r="K19" i="9"/>
  <c r="I19" i="9"/>
  <c r="G19" i="9"/>
  <c r="F19" i="9"/>
  <c r="E19" i="9"/>
  <c r="D19" i="9"/>
  <c r="C19" i="9"/>
  <c r="B19" i="9"/>
  <c r="K18" i="9"/>
  <c r="I18" i="9"/>
  <c r="G18" i="9"/>
  <c r="F18" i="9"/>
  <c r="E18" i="9"/>
  <c r="D18" i="9"/>
  <c r="C18" i="9"/>
  <c r="B18" i="9"/>
  <c r="K17" i="9"/>
  <c r="I17" i="9"/>
  <c r="G17" i="9"/>
  <c r="F17" i="9"/>
  <c r="E17" i="9"/>
  <c r="D17" i="9"/>
  <c r="C17" i="9"/>
  <c r="B17" i="9"/>
  <c r="K16" i="9"/>
  <c r="I16" i="9"/>
  <c r="G16" i="9"/>
  <c r="F16" i="9"/>
  <c r="E16" i="9"/>
  <c r="D16" i="9"/>
  <c r="C16" i="9"/>
  <c r="B16" i="9"/>
  <c r="K15" i="9"/>
  <c r="I15" i="9"/>
  <c r="G15" i="9"/>
  <c r="F15" i="9"/>
  <c r="E15" i="9"/>
  <c r="D15" i="9"/>
  <c r="C15" i="9"/>
  <c r="B15" i="9"/>
  <c r="K14" i="9"/>
  <c r="I14" i="9"/>
  <c r="G14" i="9"/>
  <c r="F14" i="9"/>
  <c r="E14" i="9"/>
  <c r="D14" i="9"/>
  <c r="C14" i="9"/>
  <c r="B14" i="9"/>
  <c r="K13" i="9"/>
  <c r="I13" i="9"/>
  <c r="G13" i="9"/>
  <c r="F13" i="9"/>
  <c r="E13" i="9"/>
  <c r="D13" i="9"/>
  <c r="C13" i="9"/>
  <c r="B13" i="9"/>
  <c r="K12" i="9"/>
  <c r="I12" i="9"/>
  <c r="G12" i="9"/>
  <c r="F12" i="9"/>
  <c r="E12" i="9"/>
  <c r="D12" i="9"/>
  <c r="C12" i="9"/>
  <c r="B12" i="9"/>
  <c r="K11" i="9"/>
  <c r="I11" i="9"/>
  <c r="G11" i="9"/>
  <c r="F11" i="9"/>
  <c r="E11" i="9"/>
  <c r="D11" i="9"/>
  <c r="C11" i="9"/>
  <c r="B11" i="9"/>
  <c r="K10" i="9"/>
  <c r="I10" i="9"/>
  <c r="G10" i="9"/>
  <c r="F10" i="9"/>
  <c r="E10" i="9"/>
  <c r="D10" i="9"/>
  <c r="C10" i="9"/>
  <c r="B10" i="9"/>
  <c r="K9" i="9"/>
  <c r="I9" i="9"/>
  <c r="G9" i="9"/>
  <c r="F9" i="9"/>
  <c r="E9" i="9"/>
  <c r="D9" i="9"/>
  <c r="C9" i="9"/>
  <c r="B9" i="9"/>
  <c r="K8" i="9"/>
  <c r="I8" i="9"/>
  <c r="G8" i="9"/>
  <c r="F8" i="9"/>
  <c r="E8" i="9"/>
  <c r="D8" i="9"/>
  <c r="C8" i="9"/>
  <c r="B8" i="9"/>
  <c r="H225" i="9" l="1"/>
  <c r="J225" i="9" s="1"/>
  <c r="H226" i="9"/>
  <c r="H228" i="9"/>
  <c r="J228" i="9" s="1"/>
  <c r="H230" i="9"/>
  <c r="J230" i="9" s="1"/>
  <c r="H232" i="9"/>
  <c r="J232" i="9" s="1"/>
  <c r="H252" i="9"/>
  <c r="J252" i="9" s="1"/>
  <c r="H254" i="9"/>
  <c r="J254" i="9" s="1"/>
  <c r="H224" i="9"/>
  <c r="J224" i="9" s="1"/>
  <c r="H8" i="9"/>
  <c r="J8" i="9" s="1"/>
  <c r="H13" i="9"/>
  <c r="H22" i="9"/>
  <c r="H10" i="9"/>
  <c r="J10" i="9" s="1"/>
  <c r="H14" i="9"/>
  <c r="J14" i="9" s="1"/>
  <c r="H24" i="9"/>
  <c r="J24" i="9" s="1"/>
  <c r="H26" i="9"/>
  <c r="J26" i="9" s="1"/>
  <c r="H30" i="9"/>
  <c r="J30" i="9" s="1"/>
  <c r="H256" i="9"/>
  <c r="J256" i="9" s="1"/>
  <c r="H23" i="9"/>
  <c r="J23" i="9" s="1"/>
  <c r="H29" i="9"/>
  <c r="J29" i="9" s="1"/>
  <c r="H40" i="9"/>
  <c r="J40" i="9" s="1"/>
  <c r="H42" i="9"/>
  <c r="J42" i="9" s="1"/>
  <c r="H45" i="9"/>
  <c r="J45" i="9" s="1"/>
  <c r="H46" i="9"/>
  <c r="J46" i="9" s="1"/>
  <c r="H54" i="9"/>
  <c r="J54" i="9" s="1"/>
  <c r="H87" i="9"/>
  <c r="J87" i="9" s="1"/>
  <c r="H88" i="9"/>
  <c r="J88" i="9" s="1"/>
  <c r="H90" i="9"/>
  <c r="J90" i="9" s="1"/>
  <c r="H91" i="9"/>
  <c r="J91" i="9" s="1"/>
  <c r="H92" i="9"/>
  <c r="J92" i="9" s="1"/>
  <c r="H94" i="9"/>
  <c r="J94" i="9" s="1"/>
  <c r="H96" i="9"/>
  <c r="J96" i="9" s="1"/>
  <c r="H103" i="9"/>
  <c r="J103" i="9" s="1"/>
  <c r="H104" i="9"/>
  <c r="J104" i="9" s="1"/>
  <c r="H107" i="9"/>
  <c r="J107" i="9" s="1"/>
  <c r="H108" i="9"/>
  <c r="J108" i="9" s="1"/>
  <c r="H110" i="9"/>
  <c r="J110" i="9" s="1"/>
  <c r="H112" i="9"/>
  <c r="J112" i="9" s="1"/>
  <c r="H118" i="9"/>
  <c r="J118" i="9" s="1"/>
  <c r="H151" i="9"/>
  <c r="J151" i="9" s="1"/>
  <c r="H152" i="9"/>
  <c r="J152" i="9" s="1"/>
  <c r="H157" i="9"/>
  <c r="J157" i="9" s="1"/>
  <c r="H158" i="9"/>
  <c r="J158" i="9" s="1"/>
  <c r="H160" i="9"/>
  <c r="J160" i="9" s="1"/>
  <c r="H193" i="9"/>
  <c r="J193" i="9" s="1"/>
  <c r="H194" i="9"/>
  <c r="J194" i="9" s="1"/>
  <c r="H196" i="9"/>
  <c r="J196" i="9" s="1"/>
  <c r="H198" i="9"/>
  <c r="J198" i="9" s="1"/>
  <c r="H200" i="9"/>
  <c r="J200" i="9" s="1"/>
  <c r="H220" i="9"/>
  <c r="J220" i="9" s="1"/>
  <c r="H150" i="9"/>
  <c r="J150" i="9" s="1"/>
  <c r="H119" i="9"/>
  <c r="J119" i="9" s="1"/>
  <c r="H120" i="9"/>
  <c r="J120" i="9" s="1"/>
  <c r="H123" i="9"/>
  <c r="J123" i="9" s="1"/>
  <c r="H124" i="9"/>
  <c r="J124" i="9" s="1"/>
  <c r="H126" i="9"/>
  <c r="J126" i="9" s="1"/>
  <c r="H128" i="9"/>
  <c r="J128" i="9" s="1"/>
  <c r="H135" i="9"/>
  <c r="J135" i="9" s="1"/>
  <c r="H136" i="9"/>
  <c r="J136" i="9" s="1"/>
  <c r="H139" i="9"/>
  <c r="J139" i="9" s="1"/>
  <c r="H140" i="9"/>
  <c r="J140" i="9" s="1"/>
  <c r="H142" i="9"/>
  <c r="J142" i="9" s="1"/>
  <c r="H144" i="9"/>
  <c r="J144" i="9" s="1"/>
  <c r="H258" i="9"/>
  <c r="J258" i="9" s="1"/>
  <c r="H70" i="9"/>
  <c r="J70" i="9" s="1"/>
  <c r="H86" i="9"/>
  <c r="J86" i="9" s="1"/>
  <c r="H20" i="9"/>
  <c r="J20" i="9" s="1"/>
  <c r="H134" i="9"/>
  <c r="J134" i="9" s="1"/>
  <c r="H36" i="9"/>
  <c r="J36" i="9" s="1"/>
  <c r="H38" i="9"/>
  <c r="J38" i="9" s="1"/>
  <c r="H172" i="9"/>
  <c r="J172" i="9" s="1"/>
  <c r="H177" i="9"/>
  <c r="J177" i="9" s="1"/>
  <c r="H179" i="9"/>
  <c r="J179" i="9" s="1"/>
  <c r="H192" i="9"/>
  <c r="J192" i="9" s="1"/>
  <c r="H216" i="9"/>
  <c r="J216" i="9" s="1"/>
  <c r="H248" i="9"/>
  <c r="J248" i="9" s="1"/>
  <c r="H250" i="9"/>
  <c r="J250" i="9" s="1"/>
  <c r="H55" i="9"/>
  <c r="J55" i="9" s="1"/>
  <c r="H56" i="9"/>
  <c r="J56" i="9" s="1"/>
  <c r="H59" i="9"/>
  <c r="H60" i="9"/>
  <c r="J60" i="9" s="1"/>
  <c r="H62" i="9"/>
  <c r="J62" i="9" s="1"/>
  <c r="H64" i="9"/>
  <c r="J64" i="9" s="1"/>
  <c r="H71" i="9"/>
  <c r="J71" i="9" s="1"/>
  <c r="H72" i="9"/>
  <c r="J72" i="9" s="1"/>
  <c r="H75" i="9"/>
  <c r="J75" i="9" s="1"/>
  <c r="H76" i="9"/>
  <c r="J76" i="9" s="1"/>
  <c r="H78" i="9"/>
  <c r="J78" i="9" s="1"/>
  <c r="H80" i="9"/>
  <c r="J80" i="9" s="1"/>
  <c r="H102" i="9"/>
  <c r="J102" i="9" s="1"/>
  <c r="H12" i="9"/>
  <c r="J12" i="9" s="1"/>
  <c r="H32" i="9"/>
  <c r="J32" i="9" s="1"/>
  <c r="H34" i="9"/>
  <c r="J34" i="9" s="1"/>
  <c r="H37" i="9"/>
  <c r="J37" i="9" s="1"/>
  <c r="H44" i="9"/>
  <c r="J44" i="9" s="1"/>
  <c r="J59" i="9"/>
  <c r="H65" i="9"/>
  <c r="J65" i="9" s="1"/>
  <c r="H66" i="9"/>
  <c r="J66" i="9" s="1"/>
  <c r="H68" i="9"/>
  <c r="J68" i="9" s="1"/>
  <c r="H69" i="9"/>
  <c r="J69" i="9" s="1"/>
  <c r="H74" i="9"/>
  <c r="J74" i="9" s="1"/>
  <c r="H97" i="9"/>
  <c r="J97" i="9" s="1"/>
  <c r="H98" i="9"/>
  <c r="J98" i="9" s="1"/>
  <c r="H100" i="9"/>
  <c r="J100" i="9" s="1"/>
  <c r="H106" i="9"/>
  <c r="J106" i="9" s="1"/>
  <c r="H129" i="9"/>
  <c r="J129" i="9" s="1"/>
  <c r="H130" i="9"/>
  <c r="J130" i="9" s="1"/>
  <c r="H132" i="9"/>
  <c r="J132" i="9" s="1"/>
  <c r="H133" i="9"/>
  <c r="J133" i="9" s="1"/>
  <c r="H138" i="9"/>
  <c r="J138" i="9" s="1"/>
  <c r="H161" i="9"/>
  <c r="J161" i="9" s="1"/>
  <c r="H162" i="9"/>
  <c r="J162" i="9" s="1"/>
  <c r="H164" i="9"/>
  <c r="J164" i="9" s="1"/>
  <c r="H168" i="9"/>
  <c r="J168" i="9" s="1"/>
  <c r="H173" i="9"/>
  <c r="J173" i="9" s="1"/>
  <c r="H174" i="9"/>
  <c r="J174" i="9" s="1"/>
  <c r="H176" i="9"/>
  <c r="J176" i="9" s="1"/>
  <c r="H184" i="9"/>
  <c r="J184" i="9" s="1"/>
  <c r="H233" i="9"/>
  <c r="J233" i="9" s="1"/>
  <c r="H234" i="9"/>
  <c r="J234" i="9" s="1"/>
  <c r="H236" i="9"/>
  <c r="J236" i="9" s="1"/>
  <c r="H238" i="9"/>
  <c r="J238" i="9" s="1"/>
  <c r="H240" i="9"/>
  <c r="J240" i="9" s="1"/>
  <c r="H249" i="9"/>
  <c r="J249" i="9" s="1"/>
  <c r="H260" i="9"/>
  <c r="J260" i="9" s="1"/>
  <c r="H15" i="9"/>
  <c r="J15" i="9" s="1"/>
  <c r="H16" i="9"/>
  <c r="J16" i="9" s="1"/>
  <c r="H18" i="9"/>
  <c r="J18" i="9" s="1"/>
  <c r="H21" i="9"/>
  <c r="J21" i="9" s="1"/>
  <c r="H28" i="9"/>
  <c r="J28" i="9" s="1"/>
  <c r="H48" i="9"/>
  <c r="J48" i="9" s="1"/>
  <c r="H50" i="9"/>
  <c r="J50" i="9" s="1"/>
  <c r="H52" i="9"/>
  <c r="J52" i="9" s="1"/>
  <c r="H53" i="9"/>
  <c r="J53" i="9" s="1"/>
  <c r="H58" i="9"/>
  <c r="J58" i="9" s="1"/>
  <c r="H81" i="9"/>
  <c r="J81" i="9" s="1"/>
  <c r="H82" i="9"/>
  <c r="J82" i="9" s="1"/>
  <c r="H84" i="9"/>
  <c r="J84" i="9" s="1"/>
  <c r="H113" i="9"/>
  <c r="J113" i="9" s="1"/>
  <c r="H114" i="9"/>
  <c r="J114" i="9" s="1"/>
  <c r="H116" i="9"/>
  <c r="J116" i="9" s="1"/>
  <c r="H117" i="9"/>
  <c r="J117" i="9" s="1"/>
  <c r="H122" i="9"/>
  <c r="J122" i="9" s="1"/>
  <c r="H145" i="9"/>
  <c r="J145" i="9" s="1"/>
  <c r="H146" i="9"/>
  <c r="J146" i="9" s="1"/>
  <c r="H148" i="9"/>
  <c r="J148" i="9" s="1"/>
  <c r="H156" i="9"/>
  <c r="J156" i="9" s="1"/>
  <c r="H201" i="9"/>
  <c r="J201" i="9" s="1"/>
  <c r="H202" i="9"/>
  <c r="J202" i="9" s="1"/>
  <c r="H204" i="9"/>
  <c r="J204" i="9" s="1"/>
  <c r="H206" i="9"/>
  <c r="J206" i="9" s="1"/>
  <c r="H208" i="9"/>
  <c r="J208" i="9" s="1"/>
  <c r="H217" i="9"/>
  <c r="J217" i="9" s="1"/>
  <c r="H218" i="9"/>
  <c r="J218" i="9" s="1"/>
  <c r="H222" i="9"/>
  <c r="J222" i="9" s="1"/>
  <c r="J22" i="9"/>
  <c r="H9" i="9"/>
  <c r="J9" i="9" s="1"/>
  <c r="H17" i="9"/>
  <c r="J17" i="9" s="1"/>
  <c r="H25" i="9"/>
  <c r="J25" i="9" s="1"/>
  <c r="H33" i="9"/>
  <c r="J33" i="9" s="1"/>
  <c r="H41" i="9"/>
  <c r="J41" i="9" s="1"/>
  <c r="H49" i="9"/>
  <c r="J49" i="9" s="1"/>
  <c r="H61" i="9"/>
  <c r="J61" i="9" s="1"/>
  <c r="H67" i="9"/>
  <c r="J67" i="9" s="1"/>
  <c r="H77" i="9"/>
  <c r="J77" i="9" s="1"/>
  <c r="H83" i="9"/>
  <c r="J83" i="9" s="1"/>
  <c r="H93" i="9"/>
  <c r="J93" i="9" s="1"/>
  <c r="H99" i="9"/>
  <c r="J99" i="9" s="1"/>
  <c r="H109" i="9"/>
  <c r="J109" i="9" s="1"/>
  <c r="H115" i="9"/>
  <c r="J115" i="9" s="1"/>
  <c r="H125" i="9"/>
  <c r="J125" i="9" s="1"/>
  <c r="H131" i="9"/>
  <c r="J131" i="9" s="1"/>
  <c r="H141" i="9"/>
  <c r="J141" i="9" s="1"/>
  <c r="H147" i="9"/>
  <c r="J147" i="9" s="1"/>
  <c r="H165" i="9"/>
  <c r="J165" i="9" s="1"/>
  <c r="H166" i="9"/>
  <c r="J166" i="9" s="1"/>
  <c r="H178" i="9"/>
  <c r="J178" i="9" s="1"/>
  <c r="H180" i="9"/>
  <c r="J180" i="9" s="1"/>
  <c r="H182" i="9"/>
  <c r="J182" i="9" s="1"/>
  <c r="H209" i="9"/>
  <c r="J209" i="9" s="1"/>
  <c r="H210" i="9"/>
  <c r="J210" i="9" s="1"/>
  <c r="H212" i="9"/>
  <c r="J212" i="9" s="1"/>
  <c r="H214" i="9"/>
  <c r="J214" i="9" s="1"/>
  <c r="H241" i="9"/>
  <c r="J241" i="9" s="1"/>
  <c r="H242" i="9"/>
  <c r="J242" i="9" s="1"/>
  <c r="H244" i="9"/>
  <c r="J244" i="9" s="1"/>
  <c r="H246" i="9"/>
  <c r="J246" i="9" s="1"/>
  <c r="H255" i="9"/>
  <c r="J255" i="9" s="1"/>
  <c r="H11" i="9"/>
  <c r="J11" i="9" s="1"/>
  <c r="H19" i="9"/>
  <c r="J19" i="9" s="1"/>
  <c r="H27" i="9"/>
  <c r="J27" i="9" s="1"/>
  <c r="H57" i="9"/>
  <c r="J57" i="9" s="1"/>
  <c r="H63" i="9"/>
  <c r="J63" i="9" s="1"/>
  <c r="H73" i="9"/>
  <c r="J73" i="9" s="1"/>
  <c r="H79" i="9"/>
  <c r="J79" i="9" s="1"/>
  <c r="H89" i="9"/>
  <c r="J89" i="9" s="1"/>
  <c r="H95" i="9"/>
  <c r="J95" i="9" s="1"/>
  <c r="H105" i="9"/>
  <c r="J105" i="9" s="1"/>
  <c r="H111" i="9"/>
  <c r="J111" i="9" s="1"/>
  <c r="H121" i="9"/>
  <c r="J121" i="9" s="1"/>
  <c r="H127" i="9"/>
  <c r="J127" i="9" s="1"/>
  <c r="H137" i="9"/>
  <c r="J137" i="9" s="1"/>
  <c r="H143" i="9"/>
  <c r="J143" i="9" s="1"/>
  <c r="H153" i="9"/>
  <c r="J153" i="9" s="1"/>
  <c r="H154" i="9"/>
  <c r="J154" i="9" s="1"/>
  <c r="H169" i="9"/>
  <c r="J169" i="9" s="1"/>
  <c r="H170" i="9"/>
  <c r="J170" i="9" s="1"/>
  <c r="H175" i="9"/>
  <c r="J175" i="9" s="1"/>
  <c r="H185" i="9"/>
  <c r="J185" i="9" s="1"/>
  <c r="H186" i="9"/>
  <c r="J186" i="9" s="1"/>
  <c r="H188" i="9"/>
  <c r="J188" i="9" s="1"/>
  <c r="H190" i="9"/>
  <c r="J190" i="9" s="1"/>
  <c r="J13" i="9"/>
  <c r="H85" i="9"/>
  <c r="J85" i="9" s="1"/>
  <c r="H101" i="9"/>
  <c r="J101" i="9" s="1"/>
  <c r="H149" i="9"/>
  <c r="J149" i="9" s="1"/>
  <c r="J226" i="9"/>
  <c r="H31" i="9"/>
  <c r="J31" i="9" s="1"/>
  <c r="H35" i="9"/>
  <c r="J35" i="9" s="1"/>
  <c r="H39" i="9"/>
  <c r="J39" i="9" s="1"/>
  <c r="H43" i="9"/>
  <c r="J43" i="9" s="1"/>
  <c r="H47" i="9"/>
  <c r="J47" i="9" s="1"/>
  <c r="H51" i="9"/>
  <c r="J51" i="9" s="1"/>
  <c r="H155" i="9"/>
  <c r="J155" i="9" s="1"/>
  <c r="H159" i="9"/>
  <c r="J159" i="9" s="1"/>
  <c r="H163" i="9"/>
  <c r="J163" i="9" s="1"/>
  <c r="H167" i="9"/>
  <c r="J167" i="9" s="1"/>
  <c r="H171" i="9"/>
  <c r="J171" i="9" s="1"/>
  <c r="H181" i="9"/>
  <c r="J181" i="9" s="1"/>
  <c r="H189" i="9"/>
  <c r="J189" i="9" s="1"/>
  <c r="H197" i="9"/>
  <c r="J197" i="9" s="1"/>
  <c r="H205" i="9"/>
  <c r="J205" i="9" s="1"/>
  <c r="H213" i="9"/>
  <c r="J213" i="9" s="1"/>
  <c r="H221" i="9"/>
  <c r="J221" i="9" s="1"/>
  <c r="H229" i="9"/>
  <c r="J229" i="9" s="1"/>
  <c r="H237" i="9"/>
  <c r="J237" i="9" s="1"/>
  <c r="H245" i="9"/>
  <c r="J245" i="9" s="1"/>
  <c r="H257" i="9"/>
  <c r="J257" i="9" s="1"/>
  <c r="H253" i="9"/>
  <c r="J253" i="9" s="1"/>
  <c r="H183" i="9"/>
  <c r="J183" i="9" s="1"/>
  <c r="H187" i="9"/>
  <c r="J187" i="9" s="1"/>
  <c r="H191" i="9"/>
  <c r="J191" i="9" s="1"/>
  <c r="H195" i="9"/>
  <c r="J195" i="9" s="1"/>
  <c r="H199" i="9"/>
  <c r="J199" i="9" s="1"/>
  <c r="H203" i="9"/>
  <c r="J203" i="9" s="1"/>
  <c r="H207" i="9"/>
  <c r="J207" i="9" s="1"/>
  <c r="H211" i="9"/>
  <c r="J211" i="9" s="1"/>
  <c r="H215" i="9"/>
  <c r="J215" i="9" s="1"/>
  <c r="H219" i="9"/>
  <c r="J219" i="9" s="1"/>
  <c r="H223" i="9"/>
  <c r="J223" i="9" s="1"/>
  <c r="H227" i="9"/>
  <c r="J227" i="9" s="1"/>
  <c r="H231" i="9"/>
  <c r="J231" i="9" s="1"/>
  <c r="H235" i="9"/>
  <c r="J235" i="9" s="1"/>
  <c r="H239" i="9"/>
  <c r="J239" i="9" s="1"/>
  <c r="H243" i="9"/>
  <c r="J243" i="9" s="1"/>
  <c r="H247" i="9"/>
  <c r="J247" i="9" s="1"/>
  <c r="H251" i="9"/>
  <c r="J251" i="9" s="1"/>
  <c r="H259" i="9"/>
  <c r="J259" i="9" s="1"/>
</calcChain>
</file>

<file path=xl/sharedStrings.xml><?xml version="1.0" encoding="utf-8"?>
<sst xmlns="http://schemas.openxmlformats.org/spreadsheetml/2006/main" count="344" uniqueCount="33">
  <si>
    <t>ID</t>
  </si>
  <si>
    <t>PLACA</t>
  </si>
  <si>
    <t>CHEGADA</t>
  </si>
  <si>
    <t>VAGA</t>
  </si>
  <si>
    <t>SITUAÇÃO</t>
  </si>
  <si>
    <t>TAMANHO</t>
  </si>
  <si>
    <t>VALOR</t>
  </si>
  <si>
    <t>CARRO GRANDE</t>
  </si>
  <si>
    <t>CARRO MÉDIO</t>
  </si>
  <si>
    <t>CARRO PEQUENO</t>
  </si>
  <si>
    <t>MOTO</t>
  </si>
  <si>
    <t>VAGAS OCUPADAS</t>
  </si>
  <si>
    <t>VAGAS DISPONÍVEIS</t>
  </si>
  <si>
    <t>TOTAL DE VAGAS</t>
  </si>
  <si>
    <t>SAÍDA</t>
  </si>
  <si>
    <t>DURAÇÃO</t>
  </si>
  <si>
    <t>DATA</t>
  </si>
  <si>
    <t>1</t>
  </si>
  <si>
    <t>Carro Grande</t>
  </si>
  <si>
    <t>A1</t>
  </si>
  <si>
    <t>LIVRE</t>
  </si>
  <si>
    <t>PAGAMENTO</t>
  </si>
  <si>
    <t>Cartão</t>
  </si>
  <si>
    <t>Rótulos de Linha</t>
  </si>
  <si>
    <t>Total Geral</t>
  </si>
  <si>
    <t>Soma de VALOR</t>
  </si>
  <si>
    <t>Contagem de VALOR2</t>
  </si>
  <si>
    <t/>
  </si>
  <si>
    <t>(vazio)</t>
  </si>
  <si>
    <t>Média de DURAÇÃO</t>
  </si>
  <si>
    <t>07/10/2021</t>
  </si>
  <si>
    <t>WWWW</t>
  </si>
  <si>
    <t>04:43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</si>
</sst>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[$-F400]h:mm:ss\ AM/PM"/>
    <numFmt numFmtId="165" formatCode="hh: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8">
    <xf numFmtId="0" fontId="0" fillId="0" borderId="0" xfId="0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0" fontId="0" fillId="0" borderId="1" xfId="0" applyBorder="1"/>
    <xf numFmtId="44" fontId="0" fillId="0" borderId="1" xfId="1" applyFont="1" applyBorder="1"/>
    <xf numFmtId="0" fontId="5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0" xfId="0" applyNumberFormat="1"/>
    <xf numFmtId="164" fontId="0" fillId="0" borderId="0" xfId="0" applyNumberFormat="1"/>
    <xf numFmtId="14" fontId="0" fillId="0" borderId="0" xfId="0" applyNumberFormat="1"/>
    <xf numFmtId="14" fontId="0" fillId="0" borderId="1" xfId="0" quotePrefix="1" applyNumberFormat="1" applyBorder="1"/>
    <xf numFmtId="4" fontId="0" fillId="0" borderId="0" xfId="0" applyNumberFormat="1"/>
    <xf numFmtId="0" fontId="3" fillId="0" borderId="0" xfId="0" applyNumberFormat="1" applyFont="1"/>
    <xf numFmtId="0" fontId="0" fillId="0" borderId="0" xfId="0" quotePrefix="1"/>
    <xf numFmtId="0" fontId="4" fillId="2" borderId="1" xfId="0" applyNumberFormat="1" applyFont="1" applyFill="1" applyBorder="1" applyAlignment="1">
      <alignment horizontal="center"/>
    </xf>
    <xf numFmtId="4" fontId="2" fillId="2" borderId="1" xfId="0" applyNumberFormat="1" applyFont="1" applyFill="1" applyBorder="1" applyAlignment="1">
      <alignment horizontal="center"/>
    </xf>
    <xf numFmtId="4" fontId="0" fillId="0" borderId="1" xfId="1" quotePrefix="1" applyNumberFormat="1" applyFont="1" applyBorder="1"/>
    <xf numFmtId="0" fontId="0" fillId="0" borderId="1" xfId="0" applyNumberFormat="1" applyBorder="1"/>
    <xf numFmtId="165" fontId="0" fillId="0" borderId="0" xfId="0" applyNumberFormat="1"/>
    <xf numFmtId="165" fontId="0" fillId="0" borderId="1" xfId="0" quotePrefix="1" applyNumberFormat="1" applyBorder="1"/>
    <xf numFmtId="165" fontId="0" fillId="0" borderId="0" xfId="0" quotePrefix="1" applyNumberFormat="1"/>
    <xf numFmtId="0" fontId="0" fillId="0" borderId="1" xfId="0" quotePrefix="1" applyNumberFormat="1" applyBorder="1"/>
    <xf numFmtId="0" fontId="0" fillId="0" borderId="0" xfId="0" quotePrefix="1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4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estacionamento - edição.xlsm]Planilha4!Tabela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SOMATÓRIO MENSAL  X </a:t>
            </a:r>
            <a:r>
              <a:rPr lang="pt-BR" baseline="0"/>
              <a:t> QUANTIDADE</a:t>
            </a:r>
            <a:endParaRPr lang="pt-BR"/>
          </a:p>
        </c:rich>
      </c:tx>
      <c:overlay val="0"/>
      <c:spPr>
        <a:solidFill>
          <a:srgbClr val="00B05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107828427011548E-2"/>
          <c:y val="0.1308289241622575"/>
          <c:w val="0.87880345058048182"/>
          <c:h val="0.787342971017511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Planilha4!$B$2</c:f>
              <c:strCache>
                <c:ptCount val="1"/>
                <c:pt idx="0">
                  <c:v>Soma de 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Planilha4!$A$3:$A$5</c:f>
              <c:strCache>
                <c:ptCount val="2"/>
                <c:pt idx="0">
                  <c:v>07/10/2021</c:v>
                </c:pt>
                <c:pt idx="1">
                  <c:v>(vazio)</c:v>
                </c:pt>
              </c:strCache>
            </c:strRef>
          </c:cat>
          <c:val>
            <c:numRef>
              <c:f>Planilha4!$B$3:$B$5</c:f>
              <c:numCache>
                <c:formatCode>_("R$"* #,##0.00_);_("R$"* \(#,##0.00\);_("R$"*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39-4AF5-AD73-1D5A0F579B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6081103"/>
        <c:axId val="1586081935"/>
      </c:barChart>
      <c:lineChart>
        <c:grouping val="standard"/>
        <c:varyColors val="0"/>
        <c:ser>
          <c:idx val="1"/>
          <c:order val="1"/>
          <c:tx>
            <c:strRef>
              <c:f>Planilha4!$C$2</c:f>
              <c:strCache>
                <c:ptCount val="1"/>
                <c:pt idx="0">
                  <c:v>Contagem de VALOR2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Planilha4!$A$3:$A$5</c:f>
              <c:strCache>
                <c:ptCount val="2"/>
                <c:pt idx="0">
                  <c:v>07/10/2021</c:v>
                </c:pt>
                <c:pt idx="1">
                  <c:v>(vazio)</c:v>
                </c:pt>
              </c:strCache>
            </c:strRef>
          </c:cat>
          <c:val>
            <c:numRef>
              <c:f>Planilha4!$C$3:$C$5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9-4AF5-AD73-1D5A0F579B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79443391"/>
        <c:axId val="1579442975"/>
      </c:lineChart>
      <c:catAx>
        <c:axId val="158608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6081935"/>
        <c:crosses val="autoZero"/>
        <c:auto val="1"/>
        <c:lblAlgn val="ctr"/>
        <c:lblOffset val="100"/>
        <c:noMultiLvlLbl val="0"/>
      </c:catAx>
      <c:valAx>
        <c:axId val="15860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6081103"/>
        <c:crosses val="autoZero"/>
        <c:crossBetween val="between"/>
      </c:valAx>
      <c:valAx>
        <c:axId val="157944297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443391"/>
        <c:crosses val="max"/>
        <c:crossBetween val="between"/>
      </c:valAx>
      <c:catAx>
        <c:axId val="15794433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94429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estacionamento - edição.xlsm]Planilha4!Tabela dinâmica2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FORMA DE PAGAMENTO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numFmt formatCode="&quot;R$&quot;\ #,##0.00" sourceLinked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numFmt formatCode="&quot;R$&quot;\ #,##0.00" sourceLinked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numFmt formatCode="&quot;R$&quot;\ #,##0.00" sourceLinked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6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1132243419821279"/>
          <c:y val="0.25689042214204832"/>
          <c:w val="0.55243337120173408"/>
          <c:h val="0.5570523793221499"/>
        </c:manualLayout>
      </c:layout>
      <c:pieChart>
        <c:varyColors val="1"/>
        <c:ser>
          <c:idx val="0"/>
          <c:order val="0"/>
          <c:tx>
            <c:strRef>
              <c:f>Planilha4!$F$2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D58-4387-A2CE-15F4EADC6B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58-4387-A2CE-15F4EADC6B77}"/>
              </c:ext>
            </c:extLst>
          </c:dPt>
          <c:dLbls>
            <c:numFmt formatCode="&quot;R$&quot;\ #,##0.00" sourceLinked="0"/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Planilha4!$E$3:$E$5</c:f>
              <c:strCache>
                <c:ptCount val="2"/>
                <c:pt idx="0">
                  <c:v>Cartão</c:v>
                </c:pt>
                <c:pt idx="1">
                  <c:v>(vazio)</c:v>
                </c:pt>
              </c:strCache>
            </c:strRef>
          </c:cat>
          <c:val>
            <c:numRef>
              <c:f>Planilha4!$F$3:$F$5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58-4387-A2CE-15F4EADC6B7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94162877527635"/>
          <c:y val="0.25281735268041328"/>
          <c:w val="0.25051846512143727"/>
          <c:h val="0.61043552482768926"/>
        </c:manualLayout>
      </c:layout>
      <c:overlay val="0"/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estacionamento - edição.xlsm]Planilha4!Tabela dinâmica5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MÉDIA DE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Planilha4!$I$2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Planilha4!$H$3:$H$5</c:f>
              <c:strCache>
                <c:ptCount val="2"/>
                <c:pt idx="0">
                  <c:v>07/10/2021</c:v>
                </c:pt>
                <c:pt idx="1">
                  <c:v>(vazio)</c:v>
                </c:pt>
              </c:strCache>
            </c:strRef>
          </c:cat>
          <c:val>
            <c:numRef>
              <c:f>Planilha4!$I$3:$I$5</c:f>
              <c:numCache>
                <c:formatCode>[$-F400]h:mm:ss\ AM/PM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C-49E0-B8F0-F87F47B9A8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44463471"/>
        <c:axId val="1844466799"/>
      </c:barChart>
      <c:catAx>
        <c:axId val="1844463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4466799"/>
        <c:crosses val="autoZero"/>
        <c:auto val="1"/>
        <c:lblAlgn val="ctr"/>
        <c:lblOffset val="100"/>
        <c:noMultiLvlLbl val="0"/>
      </c:catAx>
      <c:valAx>
        <c:axId val="18444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4463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7620</xdr:colOff>
      <xdr:row>5</xdr:row>
      <xdr:rowOff>7620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4C01E45-B820-4435-9485-5027568F0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0"/>
          <a:ext cx="2583180" cy="9829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7620</xdr:colOff>
      <xdr:row>5</xdr:row>
      <xdr:rowOff>7620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10B5BE0-E095-4DC3-A804-4B5B8420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0"/>
          <a:ext cx="2583180" cy="9829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22860</xdr:rowOff>
    </xdr:from>
    <xdr:to>
      <xdr:col>15</xdr:col>
      <xdr:colOff>388620</xdr:colOff>
      <xdr:row>19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9DE466F-2A8F-453A-9F39-06D52F0359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68580</xdr:colOff>
      <xdr:row>3</xdr:row>
      <xdr:rowOff>167640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TAMANHO">
              <a:extLst>
                <a:ext uri="{FF2B5EF4-FFF2-40B4-BE49-F238E27FC236}">
                  <a16:creationId xmlns:a16="http://schemas.microsoft.com/office/drawing/2014/main" id="{3DD633D8-D139-46F4-B798-A826BEDA45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MANH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4945380" cy="716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15</xdr:col>
      <xdr:colOff>426720</xdr:colOff>
      <xdr:row>4</xdr:row>
      <xdr:rowOff>22860</xdr:rowOff>
    </xdr:from>
    <xdr:to>
      <xdr:col>23</xdr:col>
      <xdr:colOff>144780</xdr:colOff>
      <xdr:row>29</xdr:row>
      <xdr:rowOff>7620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0397340-708F-46A5-9553-5C0EF70A26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19</xdr:row>
      <xdr:rowOff>99060</xdr:rowOff>
    </xdr:from>
    <xdr:to>
      <xdr:col>15</xdr:col>
      <xdr:colOff>396240</xdr:colOff>
      <xdr:row>29</xdr:row>
      <xdr:rowOff>15240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766BEBE-547E-4EF7-BEF6-3AA0D972A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onisss" refreshedDate="44476.197091203707" createdVersion="7" refreshedVersion="7" minRefreshableVersion="3" recordCount="254" xr:uid="{1E1921D0-7E7E-4753-9FD7-F15227612F2B}">
  <cacheSource type="worksheet">
    <worksheetSource ref="B7:L261" sheet="BD"/>
  </cacheSource>
  <cacheFields count="12">
    <cacheField name="ID" numFmtId="0">
      <sharedItems containsBlank="1"/>
    </cacheField>
    <cacheField name="DATA" numFmtId="0">
      <sharedItems containsBlank="1" count="2">
        <s v="07/10/2021"/>
        <m/>
      </sharedItems>
    </cacheField>
    <cacheField name="TAMANHO" numFmtId="0">
      <sharedItems containsBlank="1" count="5">
        <s v="Carro Grande"/>
        <m/>
        <s v="MOTO" u="1"/>
        <s v="CARRO MÉDIO" u="1"/>
        <s v="CARRO PEQUENO" u="1"/>
      </sharedItems>
    </cacheField>
    <cacheField name="PLACA" numFmtId="0">
      <sharedItems containsBlank="1"/>
    </cacheField>
    <cacheField name="CHEGADA" numFmtId="165">
      <sharedItems containsBlank="1"/>
    </cacheField>
    <cacheField name="SAÍDA" numFmtId="165">
      <sharedItems containsNonDate="0" containsDate="1" containsString="0" containsBlank="1" minDate="1899-12-30T04:43:00" maxDate="1899-12-30T04:43:00"/>
    </cacheField>
    <cacheField name="DURAÇÃO" numFmtId="165">
      <sharedItems containsNonDate="0" containsDate="1" containsString="0" containsBlank="1" minDate="1899-12-30T00:00:00" maxDate="1899-12-31T00:00:00" count="2">
        <d v="1899-12-30T00:00:00"/>
        <m/>
      </sharedItems>
      <fieldGroup par="11" base="6">
        <rangePr groupBy="minutes" startDate="1899-12-30T00:00:00" endDate="1899-12-31T00:00:00"/>
        <groupItems count="62">
          <s v="(vazio)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1/01/1900"/>
        </groupItems>
      </fieldGroup>
    </cacheField>
    <cacheField name="PAGAMENTO" numFmtId="0">
      <sharedItems containsBlank="1" count="3">
        <s v="Cartão"/>
        <m/>
        <s v="Dinheiro" u="1"/>
      </sharedItems>
    </cacheField>
    <cacheField name="VALOR" numFmtId="4">
      <sharedItems containsString="0" containsBlank="1" containsNumber="1" containsInteger="1" minValue="0" maxValue="0"/>
    </cacheField>
    <cacheField name="VAGA" numFmtId="0">
      <sharedItems containsBlank="1"/>
    </cacheField>
    <cacheField name="SITUAÇÃO" numFmtId="0">
      <sharedItems containsBlank="1"/>
    </cacheField>
    <cacheField name="Horas" numFmtId="0" databaseField="0">
      <fieldGroup base="6">
        <rangePr groupBy="hours" startDate="1899-12-30T00:00:00" endDate="1899-12-31T00:00:00"/>
        <groupItems count="26">
          <s v="&lt;00/01/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1/01/1900"/>
        </groupItems>
      </fieldGroup>
    </cacheField>
  </cacheFields>
  <extLst>
    <ext xmlns:x14="http://schemas.microsoft.com/office/spreadsheetml/2009/9/main" uri="{725AE2AE-9491-48be-B2B4-4EB974FC3084}">
      <x14:pivotCacheDefinition pivotCacheId="21382196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4">
  <r>
    <s v="1"/>
    <x v="0"/>
    <x v="0"/>
    <s v="WWWW"/>
    <s v="04:43"/>
    <d v="1899-12-30T04:43:00"/>
    <x v="0"/>
    <x v="0"/>
    <n v="0"/>
    <s v="A1"/>
    <s v="LIVRE"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  <r>
    <m/>
    <x v="1"/>
    <x v="1"/>
    <m/>
    <m/>
    <m/>
    <x v="1"/>
    <x v="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827F8-8F9D-47C9-AE04-9F70B723FCF3}" name="Tabela dinâmica5" cacheId="1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9">
  <location ref="H2:I5" firstHeaderRow="1" firstDataRow="1" firstDataCol="1"/>
  <pivotFields count="12">
    <pivotField showAll="0"/>
    <pivotField axis="axisRow" numFmtId="14" showAll="0">
      <items count="3">
        <item x="0"/>
        <item x="1"/>
        <item t="default"/>
      </items>
    </pivotField>
    <pivotField showAll="0">
      <items count="6">
        <item x="0"/>
        <item m="1" x="3"/>
        <item m="1" x="4"/>
        <item m="1" x="2"/>
        <item x="1"/>
        <item t="default"/>
      </items>
    </pivotField>
    <pivotField showAll="0"/>
    <pivotField showAll="0"/>
    <pivotField showAll="0"/>
    <pivotField dataField="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showAll="0"/>
    <pivotField showAll="0"/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25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Média de DURAÇÃO" fld="6" subtotal="average" baseField="11" baseItem="6" numFmtId="164"/>
  </dataFields>
  <chartFormats count="2"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93CE3C-B044-4CB9-8CCA-EE41405A7986}" name="Tabela dinâmica4" cacheId="1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K2:K5" firstHeaderRow="1" firstDataRow="1" firstDataCol="1"/>
  <pivotFields count="12">
    <pivotField showAll="0"/>
    <pivotField numFmtId="14" showAll="0"/>
    <pivotField axis="axisRow" showAll="0">
      <items count="6">
        <item x="0"/>
        <item m="1" x="3"/>
        <item m="1" x="4"/>
        <item m="1" x="2"/>
        <item x="1"/>
        <item t="default"/>
      </items>
    </pivotField>
    <pivotField showAll="0"/>
    <pivotField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showAll="0"/>
    <pivotField showAl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2"/>
  </rowFields>
  <rowItems count="3">
    <i>
      <x/>
    </i>
    <i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F39073-716C-4573-86FA-C0AE9B0C91F7}" name="Tabela dinâmica2" cacheId="1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6">
  <location ref="E2:F5" firstHeaderRow="1" firstDataRow="1" firstDataCol="1"/>
  <pivotFields count="12">
    <pivotField showAll="0"/>
    <pivotField numFmtId="14" showAll="0"/>
    <pivotField showAll="0">
      <items count="6">
        <item x="0"/>
        <item m="1" x="3"/>
        <item m="1" x="4"/>
        <item m="1" x="2"/>
        <item x="1"/>
        <item t="default"/>
      </items>
    </pivotField>
    <pivotField showAll="0"/>
    <pivotField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showAll="0">
      <items count="4">
        <item x="0"/>
        <item m="1" x="2"/>
        <item x="1"/>
        <item t="default"/>
      </items>
    </pivotField>
    <pivotField dataField="1" showAll="0"/>
    <pivotField showAll="0"/>
    <pivotField showAl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7"/>
  </rowFields>
  <rowItems count="3">
    <i>
      <x/>
    </i>
    <i>
      <x v="2"/>
    </i>
    <i t="grand">
      <x/>
    </i>
  </rowItems>
  <colItems count="1">
    <i/>
  </colItems>
  <dataFields count="1">
    <dataField name="Soma de VALOR" fld="8" baseField="0" baseItem="0"/>
  </dataFields>
  <chartFormats count="3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63C663-A712-4411-B973-CF31F8100F9D}" name="Tabela dinâmica1" cacheId="11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3">
  <location ref="A2:C5" firstHeaderRow="0" firstDataRow="1" firstDataCol="1"/>
  <pivotFields count="12">
    <pivotField showAll="0"/>
    <pivotField axis="axisRow" numFmtId="14" showAll="0">
      <items count="3">
        <item x="0"/>
        <item x="1"/>
        <item t="default"/>
      </items>
    </pivotField>
    <pivotField showAll="0">
      <items count="6">
        <item x="0"/>
        <item m="1" x="3"/>
        <item m="1" x="4"/>
        <item m="1" x="2"/>
        <item x="1"/>
        <item t="default"/>
      </items>
    </pivotField>
    <pivotField showAll="0"/>
    <pivotField showAll="0"/>
    <pivotField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dataField="1" showAll="0"/>
    <pivotField showAll="0"/>
    <pivotField showAl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VALOR" fld="8" baseField="11" baseItem="6" numFmtId="44"/>
    <dataField name="Contagem de VALOR2" fld="8" subtotal="count" baseField="11" baseItem="7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dateBetween" evalOrder="-1" id="155" name="DURAÇÃO">
      <autoFilter ref="A1">
        <filterColumn colId="0">
          <customFilters and="1">
            <customFilter operator="greaterThanOrEqual" val="353"/>
            <customFilter operator="lessThanOrEqual" val="35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AMANHO" xr10:uid="{49874FB2-F850-41BA-8437-11B8018252B6}" sourceName="TAMANHO">
  <pivotTables>
    <pivotTable tabId="8" name="Tabela dinâmica4"/>
    <pivotTable tabId="8" name="Tabela dinâmica1"/>
    <pivotTable tabId="8" name="Tabela dinâmica2"/>
    <pivotTable tabId="8" name="Tabela dinâmica5"/>
  </pivotTables>
  <data>
    <tabular pivotCacheId="2138219601">
      <items count="5">
        <i x="0" s="1"/>
        <i x="1" s="1"/>
        <i x="3" s="1" nd="1"/>
        <i x="4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AMANHO" xr10:uid="{007F0F42-1400-4B6C-81D7-4F02633FE8DC}" cache="SegmentaçãodeDados_TAMANHO" caption="TAMANHO" columnCount="4" rowHeight="23495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79B65-7A53-4522-B748-E62775BBB7FA}">
  <sheetPr codeName="PlanBD1">
    <tabColor rgb="FF00B050"/>
  </sheetPr>
  <dimension ref="B1:L261"/>
  <sheetViews>
    <sheetView showGridLines="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8" sqref="E8"/>
    </sheetView>
  </sheetViews>
  <sheetFormatPr defaultRowHeight="14.4" x14ac:dyDescent="0.3"/>
  <cols>
    <col min="1" max="1" width="1.88671875" customWidth="1"/>
    <col min="2" max="5" width="18.77734375" style="8" customWidth="1"/>
    <col min="6" max="8" width="18.77734375" style="19" customWidth="1"/>
    <col min="9" max="9" width="18.77734375" style="8" customWidth="1"/>
    <col min="10" max="10" width="18.77734375" style="12" customWidth="1"/>
    <col min="11" max="12" width="18.77734375" style="8" customWidth="1"/>
  </cols>
  <sheetData>
    <row r="1" spans="2:12" ht="15.6" x14ac:dyDescent="0.3">
      <c r="B1"/>
      <c r="C1"/>
      <c r="D1" s="5" t="s">
        <v>5</v>
      </c>
      <c r="E1" s="5" t="s">
        <v>6</v>
      </c>
      <c r="F1"/>
      <c r="G1"/>
      <c r="H1" s="6" t="s">
        <v>12</v>
      </c>
      <c r="I1" s="16" t="s">
        <v>11</v>
      </c>
      <c r="K1"/>
      <c r="L1" s="6" t="s">
        <v>13</v>
      </c>
    </row>
    <row r="2" spans="2:12" x14ac:dyDescent="0.3">
      <c r="B2"/>
      <c r="C2"/>
      <c r="D2" s="3" t="s">
        <v>7</v>
      </c>
      <c r="E2" s="4">
        <v>20</v>
      </c>
      <c r="F2"/>
      <c r="G2"/>
      <c r="H2" s="3">
        <v>0</v>
      </c>
      <c r="I2" s="18">
        <v>0</v>
      </c>
      <c r="K2"/>
      <c r="L2" s="7">
        <v>30</v>
      </c>
    </row>
    <row r="3" spans="2:12" x14ac:dyDescent="0.3">
      <c r="B3"/>
      <c r="C3"/>
      <c r="D3" s="3" t="s">
        <v>8</v>
      </c>
      <c r="E3" s="4">
        <v>15</v>
      </c>
      <c r="F3"/>
      <c r="G3"/>
      <c r="H3"/>
      <c r="I3"/>
      <c r="J3" s="8"/>
      <c r="K3"/>
      <c r="L3"/>
    </row>
    <row r="4" spans="2:12" x14ac:dyDescent="0.3">
      <c r="B4"/>
      <c r="C4"/>
      <c r="D4" s="3" t="s">
        <v>9</v>
      </c>
      <c r="E4" s="4">
        <v>12</v>
      </c>
      <c r="F4"/>
      <c r="G4"/>
      <c r="H4" s="8"/>
      <c r="J4" s="8"/>
    </row>
    <row r="5" spans="2:12" s="1" customFormat="1" ht="18" x14ac:dyDescent="0.35">
      <c r="D5" s="3" t="s">
        <v>10</v>
      </c>
      <c r="E5" s="4">
        <v>9</v>
      </c>
      <c r="H5" s="13"/>
      <c r="I5" s="13"/>
      <c r="J5" s="13"/>
    </row>
    <row r="6" spans="2:12" x14ac:dyDescent="0.3">
      <c r="B6"/>
      <c r="C6"/>
      <c r="D6"/>
      <c r="E6"/>
      <c r="F6"/>
      <c r="G6"/>
      <c r="H6"/>
      <c r="I6"/>
      <c r="J6" s="8"/>
      <c r="K6"/>
      <c r="L6"/>
    </row>
    <row r="7" spans="2:12" ht="18" x14ac:dyDescent="0.35">
      <c r="B7" s="2" t="s">
        <v>0</v>
      </c>
      <c r="C7" s="2" t="s">
        <v>16</v>
      </c>
      <c r="D7" s="2" t="s">
        <v>5</v>
      </c>
      <c r="E7" s="2" t="s">
        <v>1</v>
      </c>
      <c r="F7" s="2" t="s">
        <v>2</v>
      </c>
      <c r="G7" s="2" t="s">
        <v>14</v>
      </c>
      <c r="H7" s="2" t="s">
        <v>15</v>
      </c>
      <c r="I7" s="2" t="s">
        <v>21</v>
      </c>
      <c r="J7" s="15" t="s">
        <v>6</v>
      </c>
      <c r="K7" s="2" t="s">
        <v>3</v>
      </c>
      <c r="L7" s="2" t="s">
        <v>4</v>
      </c>
    </row>
    <row r="8" spans="2:12" x14ac:dyDescent="0.3">
      <c r="B8" s="22">
        <f>ROW(A1)</f>
        <v>1</v>
      </c>
      <c r="C8" s="11">
        <f ca="1">DATE(2021,RANDBETWEEN(6,9),RANDBETWEEN(1,31))</f>
        <v>44455</v>
      </c>
      <c r="D8" s="22" t="str">
        <f ca="1">CHOOSE(RANDBETWEEN(1,4),$D$2,$D$3,$D$4,$D$5)</f>
        <v>CARRO GRANDE</v>
      </c>
      <c r="E8" s="22" t="str">
        <f ca="1">CHAR(RANDBETWEEN(65,90))&amp;CHAR(RANDBETWEEN(65,90))&amp;CHAR(RANDBETWEEN(65,90))&amp;CHAR(RANDBETWEEN(65,90))&amp;"-"&amp;RANDBETWEEN(1111,9999)</f>
        <v>FLEQ-8137</v>
      </c>
      <c r="F8" s="20" t="str">
        <f ca="1">TEXT(RANDBETWEEN(7,11)&amp;":"&amp;RANDBETWEEN(1,59),"HH:MM")</f>
        <v>10:37</v>
      </c>
      <c r="G8" s="20" t="str">
        <f ca="1">TEXT(RANDBETWEEN(12,15)&amp;":"&amp;RANDBETWEEN(1,59),"HH:MM")</f>
        <v>13:23</v>
      </c>
      <c r="H8" s="20">
        <f ca="1">G8-F8</f>
        <v>0.11527777777777776</v>
      </c>
      <c r="I8" s="22" t="str">
        <f ca="1">CHOOSE(RANDBETWEEN(1,2),"Cartão","Dinheiro")</f>
        <v>Cartão</v>
      </c>
      <c r="J8" s="17">
        <f ca="1">H8*24*IF(D8=$D$2,$E$2,IF(D8=$D$3,$E$3,IF(D8=$D$4,$E$4,IF(D8=$D$5,$E$5))))</f>
        <v>55.333333333333321</v>
      </c>
      <c r="K8" s="22" t="str">
        <f ca="1">CHOOSE(RANDBETWEEN(1,15),"A1","A2","A3","A4","A5","B1","B2","B3","B4","B5","C1","C2","C3","C4","C5")</f>
        <v>C3</v>
      </c>
      <c r="L8" s="22" t="s">
        <v>20</v>
      </c>
    </row>
    <row r="9" spans="2:12" x14ac:dyDescent="0.3">
      <c r="B9" s="22">
        <f t="shared" ref="B9:B72" si="0">ROW(A2)</f>
        <v>2</v>
      </c>
      <c r="C9" s="11">
        <f t="shared" ref="C9:C72" ca="1" si="1">DATE(2021,RANDBETWEEN(6,9),RANDBETWEEN(1,31))</f>
        <v>44419</v>
      </c>
      <c r="D9" s="22" t="str">
        <f t="shared" ref="D9:D72" ca="1" si="2">CHOOSE(RANDBETWEEN(1,4),$D$2,$D$3,$D$4,$D$5)</f>
        <v>CARRO MÉDIO</v>
      </c>
      <c r="E9" s="22" t="str">
        <f t="shared" ref="E9:E72" ca="1" si="3">CHAR(RANDBETWEEN(65,90))&amp;CHAR(RANDBETWEEN(65,90))&amp;CHAR(RANDBETWEEN(65,90))&amp;CHAR(RANDBETWEEN(65,90))&amp;"-"&amp;RANDBETWEEN(1111,9999)</f>
        <v>CIZK-5867</v>
      </c>
      <c r="F9" s="20" t="str">
        <f t="shared" ref="F9:F72" ca="1" si="4">TEXT(RANDBETWEEN(7,11)&amp;":"&amp;RANDBETWEEN(1,59),"HH:MM")</f>
        <v>11:25</v>
      </c>
      <c r="G9" s="20" t="str">
        <f t="shared" ref="G9:G72" ca="1" si="5">TEXT(RANDBETWEEN(12,15)&amp;":"&amp;RANDBETWEEN(1,59),"HH:MM")</f>
        <v>12:02</v>
      </c>
      <c r="H9" s="20">
        <f t="shared" ref="H9:H72" ca="1" si="6">G9-F9</f>
        <v>2.5694444444444464E-2</v>
      </c>
      <c r="I9" s="22" t="str">
        <f t="shared" ref="I9:I72" ca="1" si="7">CHOOSE(RANDBETWEEN(1,2),"Cartão","Dinheiro")</f>
        <v>Dinheiro</v>
      </c>
      <c r="J9" s="17">
        <f t="shared" ref="J9:J72" ca="1" si="8">H9*24*IF(D9=$D$2,$E$2,IF(D9=$D$3,$E$3,IF(D9=$D$4,$E$4,IF(D9=$D$5,$E$5))))</f>
        <v>9.2500000000000071</v>
      </c>
      <c r="K9" s="22" t="str">
        <f t="shared" ref="K9:K72" ca="1" si="9">CHOOSE(RANDBETWEEN(1,15),"A1","A2","A3","A4","A5","B1","B2","B3","B4","B5","C1","C2","C3","C4","C5")</f>
        <v>A5</v>
      </c>
      <c r="L9" s="22" t="s">
        <v>20</v>
      </c>
    </row>
    <row r="10" spans="2:12" x14ac:dyDescent="0.3">
      <c r="B10" s="22">
        <f t="shared" si="0"/>
        <v>3</v>
      </c>
      <c r="C10" s="11">
        <f t="shared" ca="1" si="1"/>
        <v>44383</v>
      </c>
      <c r="D10" s="22" t="str">
        <f t="shared" ca="1" si="2"/>
        <v>CARRO MÉDIO</v>
      </c>
      <c r="E10" s="22" t="str">
        <f t="shared" ca="1" si="3"/>
        <v>BDYS-3714</v>
      </c>
      <c r="F10" s="20" t="str">
        <f t="shared" ca="1" si="4"/>
        <v>10:57</v>
      </c>
      <c r="G10" s="20" t="str">
        <f t="shared" ca="1" si="5"/>
        <v>15:56</v>
      </c>
      <c r="H10" s="20">
        <f t="shared" ca="1" si="6"/>
        <v>0.20763888888888887</v>
      </c>
      <c r="I10" s="22" t="str">
        <f t="shared" ca="1" si="7"/>
        <v>Dinheiro</v>
      </c>
      <c r="J10" s="17">
        <f t="shared" ca="1" si="8"/>
        <v>74.749999999999986</v>
      </c>
      <c r="K10" s="22" t="str">
        <f t="shared" ca="1" si="9"/>
        <v>B1</v>
      </c>
      <c r="L10" s="22" t="s">
        <v>20</v>
      </c>
    </row>
    <row r="11" spans="2:12" x14ac:dyDescent="0.3">
      <c r="B11" s="22">
        <f t="shared" si="0"/>
        <v>4</v>
      </c>
      <c r="C11" s="11">
        <f t="shared" ca="1" si="1"/>
        <v>44375</v>
      </c>
      <c r="D11" s="22" t="str">
        <f t="shared" ca="1" si="2"/>
        <v>CARRO PEQUENO</v>
      </c>
      <c r="E11" s="22" t="str">
        <f t="shared" ca="1" si="3"/>
        <v>WZFW-8587</v>
      </c>
      <c r="F11" s="20" t="str">
        <f t="shared" ca="1" si="4"/>
        <v>09:11</v>
      </c>
      <c r="G11" s="20" t="str">
        <f t="shared" ca="1" si="5"/>
        <v>14:05</v>
      </c>
      <c r="H11" s="20">
        <f t="shared" ca="1" si="6"/>
        <v>0.20416666666666666</v>
      </c>
      <c r="I11" s="22" t="str">
        <f t="shared" ca="1" si="7"/>
        <v>Cartão</v>
      </c>
      <c r="J11" s="17">
        <f t="shared" ca="1" si="8"/>
        <v>58.800000000000004</v>
      </c>
      <c r="K11" s="22" t="str">
        <f t="shared" ca="1" si="9"/>
        <v>B2</v>
      </c>
      <c r="L11" s="22" t="s">
        <v>20</v>
      </c>
    </row>
    <row r="12" spans="2:12" x14ac:dyDescent="0.3">
      <c r="B12" s="22">
        <f t="shared" si="0"/>
        <v>5</v>
      </c>
      <c r="C12" s="11">
        <f t="shared" ca="1" si="1"/>
        <v>44465</v>
      </c>
      <c r="D12" s="22" t="str">
        <f t="shared" ca="1" si="2"/>
        <v>CARRO PEQUENO</v>
      </c>
      <c r="E12" s="22" t="str">
        <f t="shared" ca="1" si="3"/>
        <v>IPHO-6977</v>
      </c>
      <c r="F12" s="20" t="str">
        <f t="shared" ca="1" si="4"/>
        <v>08:38</v>
      </c>
      <c r="G12" s="20" t="str">
        <f t="shared" ca="1" si="5"/>
        <v>15:36</v>
      </c>
      <c r="H12" s="20">
        <f t="shared" ca="1" si="6"/>
        <v>0.2902777777777778</v>
      </c>
      <c r="I12" s="22" t="str">
        <f t="shared" ca="1" si="7"/>
        <v>Cartão</v>
      </c>
      <c r="J12" s="17">
        <f t="shared" ca="1" si="8"/>
        <v>83.6</v>
      </c>
      <c r="K12" s="22" t="str">
        <f t="shared" ca="1" si="9"/>
        <v>B2</v>
      </c>
      <c r="L12" s="22" t="s">
        <v>20</v>
      </c>
    </row>
    <row r="13" spans="2:12" x14ac:dyDescent="0.3">
      <c r="B13" s="22">
        <f t="shared" si="0"/>
        <v>6</v>
      </c>
      <c r="C13" s="11">
        <f t="shared" ca="1" si="1"/>
        <v>44402</v>
      </c>
      <c r="D13" s="22" t="str">
        <f t="shared" ca="1" si="2"/>
        <v>CARRO PEQUENO</v>
      </c>
      <c r="E13" s="22" t="str">
        <f t="shared" ca="1" si="3"/>
        <v>NYAN-5547</v>
      </c>
      <c r="F13" s="20" t="str">
        <f t="shared" ca="1" si="4"/>
        <v>08:29</v>
      </c>
      <c r="G13" s="20" t="str">
        <f t="shared" ca="1" si="5"/>
        <v>12:25</v>
      </c>
      <c r="H13" s="20">
        <f t="shared" ca="1" si="6"/>
        <v>0.16388888888888886</v>
      </c>
      <c r="I13" s="22" t="str">
        <f t="shared" ca="1" si="7"/>
        <v>Cartão</v>
      </c>
      <c r="J13" s="17">
        <f t="shared" ca="1" si="8"/>
        <v>47.199999999999989</v>
      </c>
      <c r="K13" s="22" t="str">
        <f t="shared" ca="1" si="9"/>
        <v>C1</v>
      </c>
      <c r="L13" s="22" t="s">
        <v>20</v>
      </c>
    </row>
    <row r="14" spans="2:12" x14ac:dyDescent="0.3">
      <c r="B14" s="22">
        <f t="shared" si="0"/>
        <v>7</v>
      </c>
      <c r="C14" s="11">
        <f t="shared" ca="1" si="1"/>
        <v>44354</v>
      </c>
      <c r="D14" s="22" t="str">
        <f t="shared" ca="1" si="2"/>
        <v>CARRO PEQUENO</v>
      </c>
      <c r="E14" s="22" t="str">
        <f t="shared" ca="1" si="3"/>
        <v>SDWW-2807</v>
      </c>
      <c r="F14" s="20" t="str">
        <f t="shared" ca="1" si="4"/>
        <v>07:29</v>
      </c>
      <c r="G14" s="20" t="str">
        <f t="shared" ca="1" si="5"/>
        <v>12:39</v>
      </c>
      <c r="H14" s="20">
        <f t="shared" ca="1" si="6"/>
        <v>0.21527777777777779</v>
      </c>
      <c r="I14" s="22" t="str">
        <f t="shared" ca="1" si="7"/>
        <v>Cartão</v>
      </c>
      <c r="J14" s="17">
        <f t="shared" ca="1" si="8"/>
        <v>62</v>
      </c>
      <c r="K14" s="22" t="str">
        <f t="shared" ca="1" si="9"/>
        <v>A4</v>
      </c>
      <c r="L14" s="22" t="s">
        <v>20</v>
      </c>
    </row>
    <row r="15" spans="2:12" x14ac:dyDescent="0.3">
      <c r="B15" s="22">
        <f t="shared" si="0"/>
        <v>8</v>
      </c>
      <c r="C15" s="11">
        <f t="shared" ca="1" si="1"/>
        <v>44410</v>
      </c>
      <c r="D15" s="22" t="str">
        <f t="shared" ca="1" si="2"/>
        <v>CARRO PEQUENO</v>
      </c>
      <c r="E15" s="22" t="str">
        <f t="shared" ca="1" si="3"/>
        <v>HCMM-9922</v>
      </c>
      <c r="F15" s="20" t="str">
        <f t="shared" ca="1" si="4"/>
        <v>07:35</v>
      </c>
      <c r="G15" s="20" t="str">
        <f t="shared" ca="1" si="5"/>
        <v>12:32</v>
      </c>
      <c r="H15" s="20">
        <f t="shared" ca="1" si="6"/>
        <v>0.20625000000000004</v>
      </c>
      <c r="I15" s="22" t="str">
        <f t="shared" ca="1" si="7"/>
        <v>Cartão</v>
      </c>
      <c r="J15" s="17">
        <f t="shared" ca="1" si="8"/>
        <v>59.400000000000013</v>
      </c>
      <c r="K15" s="22" t="str">
        <f t="shared" ca="1" si="9"/>
        <v>B3</v>
      </c>
      <c r="L15" s="22" t="s">
        <v>20</v>
      </c>
    </row>
    <row r="16" spans="2:12" x14ac:dyDescent="0.3">
      <c r="B16" s="22">
        <f t="shared" si="0"/>
        <v>9</v>
      </c>
      <c r="C16" s="11">
        <f t="shared" ca="1" si="1"/>
        <v>44418</v>
      </c>
      <c r="D16" s="22" t="str">
        <f t="shared" ca="1" si="2"/>
        <v>CARRO GRANDE</v>
      </c>
      <c r="E16" s="22" t="str">
        <f t="shared" ca="1" si="3"/>
        <v>WPEA-9545</v>
      </c>
      <c r="F16" s="20" t="str">
        <f t="shared" ca="1" si="4"/>
        <v>08:14</v>
      </c>
      <c r="G16" s="20" t="str">
        <f t="shared" ca="1" si="5"/>
        <v>14:47</v>
      </c>
      <c r="H16" s="20">
        <f t="shared" ca="1" si="6"/>
        <v>0.27291666666666675</v>
      </c>
      <c r="I16" s="22" t="str">
        <f t="shared" ca="1" si="7"/>
        <v>Cartão</v>
      </c>
      <c r="J16" s="17">
        <f t="shared" ca="1" si="8"/>
        <v>131.00000000000006</v>
      </c>
      <c r="K16" s="22" t="str">
        <f t="shared" ca="1" si="9"/>
        <v>B4</v>
      </c>
      <c r="L16" s="22" t="s">
        <v>20</v>
      </c>
    </row>
    <row r="17" spans="2:12" x14ac:dyDescent="0.3">
      <c r="B17" s="22">
        <f t="shared" si="0"/>
        <v>10</v>
      </c>
      <c r="C17" s="11">
        <f t="shared" ca="1" si="1"/>
        <v>44413</v>
      </c>
      <c r="D17" s="22" t="str">
        <f t="shared" ca="1" si="2"/>
        <v>MOTO</v>
      </c>
      <c r="E17" s="22" t="str">
        <f t="shared" ca="1" si="3"/>
        <v>ZDTI-6474</v>
      </c>
      <c r="F17" s="20" t="str">
        <f t="shared" ca="1" si="4"/>
        <v>11:36</v>
      </c>
      <c r="G17" s="20" t="str">
        <f t="shared" ca="1" si="5"/>
        <v>12:46</v>
      </c>
      <c r="H17" s="20">
        <f t="shared" ca="1" si="6"/>
        <v>4.8611111111111105E-2</v>
      </c>
      <c r="I17" s="22" t="str">
        <f t="shared" ca="1" si="7"/>
        <v>Dinheiro</v>
      </c>
      <c r="J17" s="17">
        <f t="shared" ca="1" si="8"/>
        <v>10.499999999999998</v>
      </c>
      <c r="K17" s="22" t="str">
        <f t="shared" ca="1" si="9"/>
        <v>C3</v>
      </c>
      <c r="L17" s="22" t="s">
        <v>20</v>
      </c>
    </row>
    <row r="18" spans="2:12" x14ac:dyDescent="0.3">
      <c r="B18" s="22">
        <f t="shared" si="0"/>
        <v>11</v>
      </c>
      <c r="C18" s="11">
        <f t="shared" ca="1" si="1"/>
        <v>44360</v>
      </c>
      <c r="D18" s="22" t="str">
        <f t="shared" ca="1" si="2"/>
        <v>CARRO GRANDE</v>
      </c>
      <c r="E18" s="22" t="str">
        <f t="shared" ca="1" si="3"/>
        <v>HGEI-3239</v>
      </c>
      <c r="F18" s="20" t="str">
        <f t="shared" ca="1" si="4"/>
        <v>10:51</v>
      </c>
      <c r="G18" s="20" t="str">
        <f t="shared" ca="1" si="5"/>
        <v>15:35</v>
      </c>
      <c r="H18" s="20">
        <f t="shared" ca="1" si="6"/>
        <v>0.19722222222222224</v>
      </c>
      <c r="I18" s="22" t="str">
        <f t="shared" ca="1" si="7"/>
        <v>Cartão</v>
      </c>
      <c r="J18" s="17">
        <f t="shared" ca="1" si="8"/>
        <v>94.666666666666686</v>
      </c>
      <c r="K18" s="22" t="str">
        <f t="shared" ca="1" si="9"/>
        <v>C3</v>
      </c>
      <c r="L18" s="22" t="s">
        <v>20</v>
      </c>
    </row>
    <row r="19" spans="2:12" x14ac:dyDescent="0.3">
      <c r="B19" s="22">
        <f t="shared" si="0"/>
        <v>12</v>
      </c>
      <c r="C19" s="11">
        <f t="shared" ca="1" si="1"/>
        <v>44361</v>
      </c>
      <c r="D19" s="22" t="str">
        <f t="shared" ca="1" si="2"/>
        <v>CARRO PEQUENO</v>
      </c>
      <c r="E19" s="22" t="str">
        <f t="shared" ca="1" si="3"/>
        <v>RAPO-5506</v>
      </c>
      <c r="F19" s="20" t="str">
        <f t="shared" ca="1" si="4"/>
        <v>11:35</v>
      </c>
      <c r="G19" s="20" t="str">
        <f t="shared" ca="1" si="5"/>
        <v>13:39</v>
      </c>
      <c r="H19" s="20">
        <f t="shared" ca="1" si="6"/>
        <v>8.6111111111111083E-2</v>
      </c>
      <c r="I19" s="22" t="str">
        <f t="shared" ca="1" si="7"/>
        <v>Cartão</v>
      </c>
      <c r="J19" s="17">
        <f t="shared" ca="1" si="8"/>
        <v>24.79999999999999</v>
      </c>
      <c r="K19" s="22" t="str">
        <f t="shared" ca="1" si="9"/>
        <v>A5</v>
      </c>
      <c r="L19" s="22" t="s">
        <v>20</v>
      </c>
    </row>
    <row r="20" spans="2:12" x14ac:dyDescent="0.3">
      <c r="B20" s="22">
        <f t="shared" si="0"/>
        <v>13</v>
      </c>
      <c r="C20" s="11">
        <f t="shared" ca="1" si="1"/>
        <v>44427</v>
      </c>
      <c r="D20" s="22" t="str">
        <f t="shared" ca="1" si="2"/>
        <v>CARRO GRANDE</v>
      </c>
      <c r="E20" s="22" t="str">
        <f t="shared" ca="1" si="3"/>
        <v>ZTNN-9834</v>
      </c>
      <c r="F20" s="20" t="str">
        <f t="shared" ca="1" si="4"/>
        <v>10:57</v>
      </c>
      <c r="G20" s="20" t="str">
        <f t="shared" ca="1" si="5"/>
        <v>14:05</v>
      </c>
      <c r="H20" s="20">
        <f t="shared" ca="1" si="6"/>
        <v>0.13055555555555559</v>
      </c>
      <c r="I20" s="22" t="str">
        <f t="shared" ca="1" si="7"/>
        <v>Cartão</v>
      </c>
      <c r="J20" s="17">
        <f t="shared" ca="1" si="8"/>
        <v>62.666666666666686</v>
      </c>
      <c r="K20" s="22" t="str">
        <f t="shared" ca="1" si="9"/>
        <v>C5</v>
      </c>
      <c r="L20" s="22" t="s">
        <v>20</v>
      </c>
    </row>
    <row r="21" spans="2:12" x14ac:dyDescent="0.3">
      <c r="B21" s="22">
        <f t="shared" si="0"/>
        <v>14</v>
      </c>
      <c r="C21" s="11">
        <f t="shared" ca="1" si="1"/>
        <v>44393</v>
      </c>
      <c r="D21" s="22" t="str">
        <f t="shared" ca="1" si="2"/>
        <v>MOTO</v>
      </c>
      <c r="E21" s="22" t="str">
        <f t="shared" ca="1" si="3"/>
        <v>XDRE-6039</v>
      </c>
      <c r="F21" s="20" t="str">
        <f t="shared" ca="1" si="4"/>
        <v>07:37</v>
      </c>
      <c r="G21" s="20" t="str">
        <f t="shared" ca="1" si="5"/>
        <v>12:44</v>
      </c>
      <c r="H21" s="20">
        <f t="shared" ca="1" si="6"/>
        <v>0.21319444444444441</v>
      </c>
      <c r="I21" s="22" t="str">
        <f t="shared" ca="1" si="7"/>
        <v>Cartão</v>
      </c>
      <c r="J21" s="17">
        <f t="shared" ca="1" si="8"/>
        <v>46.04999999999999</v>
      </c>
      <c r="K21" s="22" t="str">
        <f t="shared" ca="1" si="9"/>
        <v>A1</v>
      </c>
      <c r="L21" s="22" t="s">
        <v>20</v>
      </c>
    </row>
    <row r="22" spans="2:12" x14ac:dyDescent="0.3">
      <c r="B22" s="22">
        <f t="shared" si="0"/>
        <v>15</v>
      </c>
      <c r="C22" s="11">
        <f t="shared" ca="1" si="1"/>
        <v>44435</v>
      </c>
      <c r="D22" s="22" t="str">
        <f t="shared" ca="1" si="2"/>
        <v>MOTO</v>
      </c>
      <c r="E22" s="22" t="str">
        <f t="shared" ca="1" si="3"/>
        <v>HRQE-3298</v>
      </c>
      <c r="F22" s="20" t="str">
        <f t="shared" ca="1" si="4"/>
        <v>07:03</v>
      </c>
      <c r="G22" s="20" t="str">
        <f t="shared" ca="1" si="5"/>
        <v>15:16</v>
      </c>
      <c r="H22" s="20">
        <f t="shared" ca="1" si="6"/>
        <v>0.34236111111111117</v>
      </c>
      <c r="I22" s="22" t="str">
        <f t="shared" ca="1" si="7"/>
        <v>Cartão</v>
      </c>
      <c r="J22" s="17">
        <f t="shared" ca="1" si="8"/>
        <v>73.950000000000017</v>
      </c>
      <c r="K22" s="22" t="str">
        <f t="shared" ca="1" si="9"/>
        <v>C2</v>
      </c>
      <c r="L22" s="22" t="s">
        <v>20</v>
      </c>
    </row>
    <row r="23" spans="2:12" x14ac:dyDescent="0.3">
      <c r="B23" s="22">
        <f t="shared" si="0"/>
        <v>16</v>
      </c>
      <c r="C23" s="11">
        <f t="shared" ca="1" si="1"/>
        <v>44428</v>
      </c>
      <c r="D23" s="22" t="str">
        <f t="shared" ca="1" si="2"/>
        <v>MOTO</v>
      </c>
      <c r="E23" s="22" t="str">
        <f t="shared" ca="1" si="3"/>
        <v>YVYN-7389</v>
      </c>
      <c r="F23" s="20" t="str">
        <f t="shared" ca="1" si="4"/>
        <v>08:49</v>
      </c>
      <c r="G23" s="20" t="str">
        <f t="shared" ca="1" si="5"/>
        <v>15:23</v>
      </c>
      <c r="H23" s="20">
        <f t="shared" ca="1" si="6"/>
        <v>0.27361111111111108</v>
      </c>
      <c r="I23" s="22" t="str">
        <f t="shared" ca="1" si="7"/>
        <v>Cartão</v>
      </c>
      <c r="J23" s="17">
        <f t="shared" ca="1" si="8"/>
        <v>59.099999999999994</v>
      </c>
      <c r="K23" s="22" t="str">
        <f t="shared" ca="1" si="9"/>
        <v>B4</v>
      </c>
      <c r="L23" s="22" t="s">
        <v>20</v>
      </c>
    </row>
    <row r="24" spans="2:12" x14ac:dyDescent="0.3">
      <c r="B24" s="22">
        <f t="shared" si="0"/>
        <v>17</v>
      </c>
      <c r="C24" s="11">
        <f t="shared" ca="1" si="1"/>
        <v>44410</v>
      </c>
      <c r="D24" s="22" t="str">
        <f t="shared" ca="1" si="2"/>
        <v>CARRO GRANDE</v>
      </c>
      <c r="E24" s="22" t="str">
        <f t="shared" ca="1" si="3"/>
        <v>VGXV-9493</v>
      </c>
      <c r="F24" s="20" t="str">
        <f t="shared" ca="1" si="4"/>
        <v>11:32</v>
      </c>
      <c r="G24" s="20" t="str">
        <f t="shared" ca="1" si="5"/>
        <v>13:01</v>
      </c>
      <c r="H24" s="20">
        <f t="shared" ca="1" si="6"/>
        <v>6.1805555555555614E-2</v>
      </c>
      <c r="I24" s="22" t="str">
        <f t="shared" ca="1" si="7"/>
        <v>Dinheiro</v>
      </c>
      <c r="J24" s="17">
        <f t="shared" ca="1" si="8"/>
        <v>29.666666666666693</v>
      </c>
      <c r="K24" s="22" t="str">
        <f t="shared" ca="1" si="9"/>
        <v>C5</v>
      </c>
      <c r="L24" s="22" t="s">
        <v>20</v>
      </c>
    </row>
    <row r="25" spans="2:12" x14ac:dyDescent="0.3">
      <c r="B25" s="22">
        <f t="shared" si="0"/>
        <v>18</v>
      </c>
      <c r="C25" s="11">
        <f t="shared" ca="1" si="1"/>
        <v>44364</v>
      </c>
      <c r="D25" s="22" t="str">
        <f t="shared" ca="1" si="2"/>
        <v>CARRO GRANDE</v>
      </c>
      <c r="E25" s="22" t="str">
        <f t="shared" ca="1" si="3"/>
        <v>ALYN-7816</v>
      </c>
      <c r="F25" s="20" t="str">
        <f t="shared" ca="1" si="4"/>
        <v>09:43</v>
      </c>
      <c r="G25" s="20" t="str">
        <f t="shared" ca="1" si="5"/>
        <v>13:52</v>
      </c>
      <c r="H25" s="20">
        <f t="shared" ca="1" si="6"/>
        <v>0.17291666666666672</v>
      </c>
      <c r="I25" s="22" t="str">
        <f t="shared" ca="1" si="7"/>
        <v>Dinheiro</v>
      </c>
      <c r="J25" s="17">
        <f t="shared" ca="1" si="8"/>
        <v>83.000000000000028</v>
      </c>
      <c r="K25" s="22" t="str">
        <f t="shared" ca="1" si="9"/>
        <v>C3</v>
      </c>
      <c r="L25" s="22" t="s">
        <v>20</v>
      </c>
    </row>
    <row r="26" spans="2:12" x14ac:dyDescent="0.3">
      <c r="B26" s="22">
        <f t="shared" si="0"/>
        <v>19</v>
      </c>
      <c r="C26" s="11">
        <f t="shared" ca="1" si="1"/>
        <v>44425</v>
      </c>
      <c r="D26" s="22" t="str">
        <f t="shared" ca="1" si="2"/>
        <v>CARRO PEQUENO</v>
      </c>
      <c r="E26" s="22" t="str">
        <f t="shared" ca="1" si="3"/>
        <v>YNBR-4099</v>
      </c>
      <c r="F26" s="20" t="str">
        <f t="shared" ca="1" si="4"/>
        <v>10:03</v>
      </c>
      <c r="G26" s="20" t="str">
        <f t="shared" ca="1" si="5"/>
        <v>13:50</v>
      </c>
      <c r="H26" s="20">
        <f t="shared" ca="1" si="6"/>
        <v>0.15763888888888894</v>
      </c>
      <c r="I26" s="22" t="str">
        <f t="shared" ca="1" si="7"/>
        <v>Cartão</v>
      </c>
      <c r="J26" s="17">
        <f t="shared" ca="1" si="8"/>
        <v>45.400000000000013</v>
      </c>
      <c r="K26" s="22" t="str">
        <f t="shared" ca="1" si="9"/>
        <v>C4</v>
      </c>
      <c r="L26" s="22" t="s">
        <v>20</v>
      </c>
    </row>
    <row r="27" spans="2:12" x14ac:dyDescent="0.3">
      <c r="B27" s="22">
        <f t="shared" si="0"/>
        <v>20</v>
      </c>
      <c r="C27" s="11">
        <f t="shared" ca="1" si="1"/>
        <v>44421</v>
      </c>
      <c r="D27" s="22" t="str">
        <f t="shared" ca="1" si="2"/>
        <v>CARRO MÉDIO</v>
      </c>
      <c r="E27" s="22" t="str">
        <f t="shared" ca="1" si="3"/>
        <v>ZLBN-9974</v>
      </c>
      <c r="F27" s="20" t="str">
        <f t="shared" ca="1" si="4"/>
        <v>08:47</v>
      </c>
      <c r="G27" s="20" t="str">
        <f t="shared" ca="1" si="5"/>
        <v>13:03</v>
      </c>
      <c r="H27" s="20">
        <f t="shared" ca="1" si="6"/>
        <v>0.17777777777777787</v>
      </c>
      <c r="I27" s="22" t="str">
        <f t="shared" ca="1" si="7"/>
        <v>Cartão</v>
      </c>
      <c r="J27" s="17">
        <f t="shared" ca="1" si="8"/>
        <v>64.000000000000043</v>
      </c>
      <c r="K27" s="22" t="str">
        <f t="shared" ca="1" si="9"/>
        <v>C1</v>
      </c>
      <c r="L27" s="22" t="s">
        <v>20</v>
      </c>
    </row>
    <row r="28" spans="2:12" x14ac:dyDescent="0.3">
      <c r="B28" s="22">
        <f t="shared" si="0"/>
        <v>21</v>
      </c>
      <c r="C28" s="11">
        <f t="shared" ca="1" si="1"/>
        <v>44434</v>
      </c>
      <c r="D28" s="22" t="str">
        <f t="shared" ca="1" si="2"/>
        <v>MOTO</v>
      </c>
      <c r="E28" s="22" t="str">
        <f t="shared" ca="1" si="3"/>
        <v>QAMK-4768</v>
      </c>
      <c r="F28" s="20" t="str">
        <f t="shared" ca="1" si="4"/>
        <v>10:39</v>
      </c>
      <c r="G28" s="20" t="str">
        <f t="shared" ca="1" si="5"/>
        <v>13:48</v>
      </c>
      <c r="H28" s="20">
        <f t="shared" ca="1" si="6"/>
        <v>0.13125000000000003</v>
      </c>
      <c r="I28" s="22" t="str">
        <f t="shared" ca="1" si="7"/>
        <v>Cartão</v>
      </c>
      <c r="J28" s="17">
        <f t="shared" ca="1" si="8"/>
        <v>28.350000000000009</v>
      </c>
      <c r="K28" s="22" t="str">
        <f t="shared" ca="1" si="9"/>
        <v>A4</v>
      </c>
      <c r="L28" s="22" t="s">
        <v>20</v>
      </c>
    </row>
    <row r="29" spans="2:12" x14ac:dyDescent="0.3">
      <c r="B29" s="22">
        <f t="shared" si="0"/>
        <v>22</v>
      </c>
      <c r="C29" s="11">
        <f t="shared" ca="1" si="1"/>
        <v>44442</v>
      </c>
      <c r="D29" s="22" t="str">
        <f t="shared" ca="1" si="2"/>
        <v>CARRO MÉDIO</v>
      </c>
      <c r="E29" s="22" t="str">
        <f t="shared" ca="1" si="3"/>
        <v>QPAD-1211</v>
      </c>
      <c r="F29" s="20" t="str">
        <f t="shared" ca="1" si="4"/>
        <v>07:46</v>
      </c>
      <c r="G29" s="20" t="str">
        <f t="shared" ca="1" si="5"/>
        <v>12:10</v>
      </c>
      <c r="H29" s="20">
        <f t="shared" ca="1" si="6"/>
        <v>0.18333333333333329</v>
      </c>
      <c r="I29" s="22" t="str">
        <f t="shared" ca="1" si="7"/>
        <v>Cartão</v>
      </c>
      <c r="J29" s="17">
        <f t="shared" ca="1" si="8"/>
        <v>65.999999999999972</v>
      </c>
      <c r="K29" s="22" t="str">
        <f t="shared" ca="1" si="9"/>
        <v>A1</v>
      </c>
      <c r="L29" s="22" t="s">
        <v>20</v>
      </c>
    </row>
    <row r="30" spans="2:12" x14ac:dyDescent="0.3">
      <c r="B30" s="22">
        <f t="shared" si="0"/>
        <v>23</v>
      </c>
      <c r="C30" s="11">
        <f t="shared" ca="1" si="1"/>
        <v>44418</v>
      </c>
      <c r="D30" s="22" t="str">
        <f t="shared" ca="1" si="2"/>
        <v>CARRO GRANDE</v>
      </c>
      <c r="E30" s="22" t="str">
        <f t="shared" ca="1" si="3"/>
        <v>SQZL-9624</v>
      </c>
      <c r="F30" s="20" t="str">
        <f t="shared" ca="1" si="4"/>
        <v>10:37</v>
      </c>
      <c r="G30" s="20" t="str">
        <f t="shared" ca="1" si="5"/>
        <v>13:36</v>
      </c>
      <c r="H30" s="20">
        <f t="shared" ca="1" si="6"/>
        <v>0.1243055555555555</v>
      </c>
      <c r="I30" s="22" t="str">
        <f t="shared" ca="1" si="7"/>
        <v>Dinheiro</v>
      </c>
      <c r="J30" s="17">
        <f t="shared" ca="1" si="8"/>
        <v>59.666666666666643</v>
      </c>
      <c r="K30" s="22" t="str">
        <f t="shared" ca="1" si="9"/>
        <v>A4</v>
      </c>
      <c r="L30" s="22" t="s">
        <v>20</v>
      </c>
    </row>
    <row r="31" spans="2:12" x14ac:dyDescent="0.3">
      <c r="B31" s="22">
        <f t="shared" si="0"/>
        <v>24</v>
      </c>
      <c r="C31" s="11">
        <f t="shared" ca="1" si="1"/>
        <v>44370</v>
      </c>
      <c r="D31" s="22" t="str">
        <f t="shared" ca="1" si="2"/>
        <v>MOTO</v>
      </c>
      <c r="E31" s="22" t="str">
        <f t="shared" ca="1" si="3"/>
        <v>ORQP-3949</v>
      </c>
      <c r="F31" s="20" t="str">
        <f t="shared" ca="1" si="4"/>
        <v>08:37</v>
      </c>
      <c r="G31" s="20" t="str">
        <f t="shared" ca="1" si="5"/>
        <v>14:27</v>
      </c>
      <c r="H31" s="20">
        <f t="shared" ca="1" si="6"/>
        <v>0.24305555555555552</v>
      </c>
      <c r="I31" s="22" t="str">
        <f t="shared" ca="1" si="7"/>
        <v>Dinheiro</v>
      </c>
      <c r="J31" s="17">
        <f t="shared" ca="1" si="8"/>
        <v>52.499999999999986</v>
      </c>
      <c r="K31" s="22" t="str">
        <f t="shared" ca="1" si="9"/>
        <v>A5</v>
      </c>
      <c r="L31" s="22" t="s">
        <v>20</v>
      </c>
    </row>
    <row r="32" spans="2:12" x14ac:dyDescent="0.3">
      <c r="B32" s="22">
        <f t="shared" si="0"/>
        <v>25</v>
      </c>
      <c r="C32" s="11">
        <f t="shared" ca="1" si="1"/>
        <v>44441</v>
      </c>
      <c r="D32" s="22" t="str">
        <f t="shared" ca="1" si="2"/>
        <v>MOTO</v>
      </c>
      <c r="E32" s="22" t="str">
        <f t="shared" ca="1" si="3"/>
        <v>NJCI-3239</v>
      </c>
      <c r="F32" s="20" t="str">
        <f t="shared" ca="1" si="4"/>
        <v>07:32</v>
      </c>
      <c r="G32" s="20" t="str">
        <f t="shared" ca="1" si="5"/>
        <v>14:30</v>
      </c>
      <c r="H32" s="20">
        <f t="shared" ca="1" si="6"/>
        <v>0.29027777777777775</v>
      </c>
      <c r="I32" s="22" t="str">
        <f t="shared" ca="1" si="7"/>
        <v>Dinheiro</v>
      </c>
      <c r="J32" s="17">
        <f t="shared" ca="1" si="8"/>
        <v>62.699999999999996</v>
      </c>
      <c r="K32" s="22" t="str">
        <f t="shared" ca="1" si="9"/>
        <v>C2</v>
      </c>
      <c r="L32" s="22" t="s">
        <v>20</v>
      </c>
    </row>
    <row r="33" spans="2:12" x14ac:dyDescent="0.3">
      <c r="B33" s="22">
        <f t="shared" si="0"/>
        <v>26</v>
      </c>
      <c r="C33" s="11">
        <f t="shared" ca="1" si="1"/>
        <v>44436</v>
      </c>
      <c r="D33" s="22" t="str">
        <f t="shared" ca="1" si="2"/>
        <v>CARRO MÉDIO</v>
      </c>
      <c r="E33" s="22" t="str">
        <f t="shared" ca="1" si="3"/>
        <v>IXKW-9765</v>
      </c>
      <c r="F33" s="20" t="str">
        <f t="shared" ca="1" si="4"/>
        <v>10:02</v>
      </c>
      <c r="G33" s="20" t="str">
        <f t="shared" ca="1" si="5"/>
        <v>15:19</v>
      </c>
      <c r="H33" s="20">
        <f t="shared" ca="1" si="6"/>
        <v>0.22013888888888883</v>
      </c>
      <c r="I33" s="22" t="str">
        <f t="shared" ca="1" si="7"/>
        <v>Dinheiro</v>
      </c>
      <c r="J33" s="17">
        <f t="shared" ca="1" si="8"/>
        <v>79.249999999999972</v>
      </c>
      <c r="K33" s="22" t="str">
        <f t="shared" ca="1" si="9"/>
        <v>B2</v>
      </c>
      <c r="L33" s="22" t="s">
        <v>20</v>
      </c>
    </row>
    <row r="34" spans="2:12" x14ac:dyDescent="0.3">
      <c r="B34" s="22">
        <f t="shared" si="0"/>
        <v>27</v>
      </c>
      <c r="C34" s="11">
        <f t="shared" ca="1" si="1"/>
        <v>44357</v>
      </c>
      <c r="D34" s="22" t="str">
        <f t="shared" ca="1" si="2"/>
        <v>CARRO MÉDIO</v>
      </c>
      <c r="E34" s="22" t="str">
        <f t="shared" ca="1" si="3"/>
        <v>FJHC-7750</v>
      </c>
      <c r="F34" s="20" t="str">
        <f t="shared" ca="1" si="4"/>
        <v>08:45</v>
      </c>
      <c r="G34" s="20" t="str">
        <f t="shared" ca="1" si="5"/>
        <v>13:41</v>
      </c>
      <c r="H34" s="20">
        <f t="shared" ca="1" si="6"/>
        <v>0.20555555555555555</v>
      </c>
      <c r="I34" s="22" t="str">
        <f t="shared" ca="1" si="7"/>
        <v>Dinheiro</v>
      </c>
      <c r="J34" s="17">
        <f t="shared" ca="1" si="8"/>
        <v>74</v>
      </c>
      <c r="K34" s="22" t="str">
        <f t="shared" ca="1" si="9"/>
        <v>A4</v>
      </c>
      <c r="L34" s="22" t="s">
        <v>20</v>
      </c>
    </row>
    <row r="35" spans="2:12" x14ac:dyDescent="0.3">
      <c r="B35" s="22">
        <f t="shared" si="0"/>
        <v>28</v>
      </c>
      <c r="C35" s="11">
        <f t="shared" ca="1" si="1"/>
        <v>44438</v>
      </c>
      <c r="D35" s="22" t="str">
        <f t="shared" ca="1" si="2"/>
        <v>MOTO</v>
      </c>
      <c r="E35" s="22" t="str">
        <f t="shared" ca="1" si="3"/>
        <v>YQML-7449</v>
      </c>
      <c r="F35" s="20" t="str">
        <f t="shared" ca="1" si="4"/>
        <v>10:23</v>
      </c>
      <c r="G35" s="20" t="str">
        <f t="shared" ca="1" si="5"/>
        <v>13:33</v>
      </c>
      <c r="H35" s="20">
        <f t="shared" ca="1" si="6"/>
        <v>0.13194444444444448</v>
      </c>
      <c r="I35" s="22" t="str">
        <f t="shared" ca="1" si="7"/>
        <v>Dinheiro</v>
      </c>
      <c r="J35" s="17">
        <f t="shared" ca="1" si="8"/>
        <v>28.500000000000007</v>
      </c>
      <c r="K35" s="22" t="str">
        <f t="shared" ca="1" si="9"/>
        <v>C5</v>
      </c>
      <c r="L35" s="22" t="s">
        <v>20</v>
      </c>
    </row>
    <row r="36" spans="2:12" x14ac:dyDescent="0.3">
      <c r="B36" s="22">
        <f t="shared" si="0"/>
        <v>29</v>
      </c>
      <c r="C36" s="11">
        <f t="shared" ca="1" si="1"/>
        <v>44417</v>
      </c>
      <c r="D36" s="22" t="str">
        <f t="shared" ca="1" si="2"/>
        <v>MOTO</v>
      </c>
      <c r="E36" s="22" t="str">
        <f t="shared" ca="1" si="3"/>
        <v>CMNW-5996</v>
      </c>
      <c r="F36" s="20" t="str">
        <f t="shared" ca="1" si="4"/>
        <v>09:22</v>
      </c>
      <c r="G36" s="20" t="str">
        <f t="shared" ca="1" si="5"/>
        <v>12:04</v>
      </c>
      <c r="H36" s="20">
        <f t="shared" ca="1" si="6"/>
        <v>0.11249999999999999</v>
      </c>
      <c r="I36" s="22" t="str">
        <f t="shared" ca="1" si="7"/>
        <v>Cartão</v>
      </c>
      <c r="J36" s="17">
        <f t="shared" ca="1" si="8"/>
        <v>24.299999999999997</v>
      </c>
      <c r="K36" s="22" t="str">
        <f t="shared" ca="1" si="9"/>
        <v>B1</v>
      </c>
      <c r="L36" s="22" t="s">
        <v>20</v>
      </c>
    </row>
    <row r="37" spans="2:12" x14ac:dyDescent="0.3">
      <c r="B37" s="22">
        <f t="shared" si="0"/>
        <v>30</v>
      </c>
      <c r="C37" s="11">
        <f t="shared" ca="1" si="1"/>
        <v>44410</v>
      </c>
      <c r="D37" s="22" t="str">
        <f t="shared" ca="1" si="2"/>
        <v>MOTO</v>
      </c>
      <c r="E37" s="22" t="str">
        <f t="shared" ca="1" si="3"/>
        <v>VQRJ-6993</v>
      </c>
      <c r="F37" s="20" t="str">
        <f t="shared" ca="1" si="4"/>
        <v>11:31</v>
      </c>
      <c r="G37" s="20" t="str">
        <f t="shared" ca="1" si="5"/>
        <v>14:16</v>
      </c>
      <c r="H37" s="20">
        <f t="shared" ca="1" si="6"/>
        <v>0.11458333333333331</v>
      </c>
      <c r="I37" s="22" t="str">
        <f t="shared" ca="1" si="7"/>
        <v>Dinheiro</v>
      </c>
      <c r="J37" s="17">
        <f t="shared" ca="1" si="8"/>
        <v>24.749999999999996</v>
      </c>
      <c r="K37" s="22" t="str">
        <f t="shared" ca="1" si="9"/>
        <v>C4</v>
      </c>
      <c r="L37" s="22" t="s">
        <v>20</v>
      </c>
    </row>
    <row r="38" spans="2:12" x14ac:dyDescent="0.3">
      <c r="B38" s="22">
        <f t="shared" si="0"/>
        <v>31</v>
      </c>
      <c r="C38" s="11">
        <f t="shared" ca="1" si="1"/>
        <v>44413</v>
      </c>
      <c r="D38" s="22" t="str">
        <f t="shared" ca="1" si="2"/>
        <v>CARRO MÉDIO</v>
      </c>
      <c r="E38" s="22" t="str">
        <f t="shared" ca="1" si="3"/>
        <v>AHOV-7732</v>
      </c>
      <c r="F38" s="20" t="str">
        <f t="shared" ca="1" si="4"/>
        <v>07:14</v>
      </c>
      <c r="G38" s="20" t="str">
        <f t="shared" ca="1" si="5"/>
        <v>14:26</v>
      </c>
      <c r="H38" s="20">
        <f t="shared" ca="1" si="6"/>
        <v>0.3</v>
      </c>
      <c r="I38" s="22" t="str">
        <f t="shared" ca="1" si="7"/>
        <v>Dinheiro</v>
      </c>
      <c r="J38" s="17">
        <f t="shared" ca="1" si="8"/>
        <v>107.99999999999999</v>
      </c>
      <c r="K38" s="22" t="str">
        <f t="shared" ca="1" si="9"/>
        <v>B2</v>
      </c>
      <c r="L38" s="22" t="s">
        <v>20</v>
      </c>
    </row>
    <row r="39" spans="2:12" x14ac:dyDescent="0.3">
      <c r="B39" s="22">
        <f t="shared" si="0"/>
        <v>32</v>
      </c>
      <c r="C39" s="11">
        <f t="shared" ca="1" si="1"/>
        <v>44421</v>
      </c>
      <c r="D39" s="22" t="str">
        <f t="shared" ca="1" si="2"/>
        <v>CARRO MÉDIO</v>
      </c>
      <c r="E39" s="22" t="str">
        <f t="shared" ca="1" si="3"/>
        <v>IJUO-3331</v>
      </c>
      <c r="F39" s="20" t="str">
        <f t="shared" ca="1" si="4"/>
        <v>10:13</v>
      </c>
      <c r="G39" s="20" t="str">
        <f t="shared" ca="1" si="5"/>
        <v>14:49</v>
      </c>
      <c r="H39" s="20">
        <f t="shared" ca="1" si="6"/>
        <v>0.19166666666666671</v>
      </c>
      <c r="I39" s="22" t="str">
        <f t="shared" ca="1" si="7"/>
        <v>Cartão</v>
      </c>
      <c r="J39" s="17">
        <f t="shared" ca="1" si="8"/>
        <v>69.000000000000028</v>
      </c>
      <c r="K39" s="22" t="str">
        <f t="shared" ca="1" si="9"/>
        <v>A4</v>
      </c>
      <c r="L39" s="22" t="s">
        <v>20</v>
      </c>
    </row>
    <row r="40" spans="2:12" x14ac:dyDescent="0.3">
      <c r="B40" s="22">
        <f t="shared" si="0"/>
        <v>33</v>
      </c>
      <c r="C40" s="11">
        <f t="shared" ca="1" si="1"/>
        <v>44398</v>
      </c>
      <c r="D40" s="22" t="str">
        <f t="shared" ca="1" si="2"/>
        <v>CARRO MÉDIO</v>
      </c>
      <c r="E40" s="22" t="str">
        <f t="shared" ca="1" si="3"/>
        <v>JVCT-4385</v>
      </c>
      <c r="F40" s="20" t="str">
        <f t="shared" ca="1" si="4"/>
        <v>11:54</v>
      </c>
      <c r="G40" s="20" t="str">
        <f t="shared" ca="1" si="5"/>
        <v>14:47</v>
      </c>
      <c r="H40" s="20">
        <f t="shared" ca="1" si="6"/>
        <v>0.12013888888888891</v>
      </c>
      <c r="I40" s="22" t="str">
        <f t="shared" ca="1" si="7"/>
        <v>Cartão</v>
      </c>
      <c r="J40" s="17">
        <f t="shared" ca="1" si="8"/>
        <v>43.250000000000007</v>
      </c>
      <c r="K40" s="22" t="str">
        <f t="shared" ca="1" si="9"/>
        <v>C4</v>
      </c>
      <c r="L40" s="22" t="s">
        <v>20</v>
      </c>
    </row>
    <row r="41" spans="2:12" x14ac:dyDescent="0.3">
      <c r="B41" s="22">
        <f t="shared" si="0"/>
        <v>34</v>
      </c>
      <c r="C41" s="11">
        <f t="shared" ca="1" si="1"/>
        <v>44424</v>
      </c>
      <c r="D41" s="22" t="str">
        <f t="shared" ca="1" si="2"/>
        <v>CARRO GRANDE</v>
      </c>
      <c r="E41" s="22" t="str">
        <f t="shared" ca="1" si="3"/>
        <v>GNUE-5524</v>
      </c>
      <c r="F41" s="20" t="str">
        <f t="shared" ca="1" si="4"/>
        <v>08:32</v>
      </c>
      <c r="G41" s="20" t="str">
        <f t="shared" ca="1" si="5"/>
        <v>15:24</v>
      </c>
      <c r="H41" s="20">
        <f t="shared" ca="1" si="6"/>
        <v>0.28611111111111115</v>
      </c>
      <c r="I41" s="22" t="str">
        <f t="shared" ca="1" si="7"/>
        <v>Cartão</v>
      </c>
      <c r="J41" s="17">
        <f t="shared" ca="1" si="8"/>
        <v>137.33333333333334</v>
      </c>
      <c r="K41" s="22" t="str">
        <f t="shared" ca="1" si="9"/>
        <v>C2</v>
      </c>
      <c r="L41" s="22" t="s">
        <v>20</v>
      </c>
    </row>
    <row r="42" spans="2:12" x14ac:dyDescent="0.3">
      <c r="B42" s="22">
        <f t="shared" si="0"/>
        <v>35</v>
      </c>
      <c r="C42" s="11">
        <f t="shared" ca="1" si="1"/>
        <v>44437</v>
      </c>
      <c r="D42" s="22" t="str">
        <f t="shared" ca="1" si="2"/>
        <v>CARRO MÉDIO</v>
      </c>
      <c r="E42" s="22" t="str">
        <f t="shared" ca="1" si="3"/>
        <v>RNJU-5230</v>
      </c>
      <c r="F42" s="20" t="str">
        <f t="shared" ca="1" si="4"/>
        <v>11:02</v>
      </c>
      <c r="G42" s="20" t="str">
        <f t="shared" ca="1" si="5"/>
        <v>12:09</v>
      </c>
      <c r="H42" s="20">
        <f t="shared" ca="1" si="6"/>
        <v>4.6527777777777779E-2</v>
      </c>
      <c r="I42" s="22" t="str">
        <f t="shared" ca="1" si="7"/>
        <v>Dinheiro</v>
      </c>
      <c r="J42" s="17">
        <f t="shared" ca="1" si="8"/>
        <v>16.75</v>
      </c>
      <c r="K42" s="22" t="str">
        <f t="shared" ca="1" si="9"/>
        <v>B3</v>
      </c>
      <c r="L42" s="22" t="s">
        <v>20</v>
      </c>
    </row>
    <row r="43" spans="2:12" x14ac:dyDescent="0.3">
      <c r="B43" s="22">
        <f t="shared" si="0"/>
        <v>36</v>
      </c>
      <c r="C43" s="11">
        <f t="shared" ca="1" si="1"/>
        <v>44372</v>
      </c>
      <c r="D43" s="22" t="str">
        <f t="shared" ca="1" si="2"/>
        <v>CARRO MÉDIO</v>
      </c>
      <c r="E43" s="22" t="str">
        <f t="shared" ca="1" si="3"/>
        <v>WCYN-2003</v>
      </c>
      <c r="F43" s="20" t="str">
        <f t="shared" ca="1" si="4"/>
        <v>11:12</v>
      </c>
      <c r="G43" s="20" t="str">
        <f t="shared" ca="1" si="5"/>
        <v>12:57</v>
      </c>
      <c r="H43" s="20">
        <f t="shared" ca="1" si="6"/>
        <v>7.2916666666666685E-2</v>
      </c>
      <c r="I43" s="22" t="str">
        <f t="shared" ca="1" si="7"/>
        <v>Cartão</v>
      </c>
      <c r="J43" s="17">
        <f t="shared" ca="1" si="8"/>
        <v>26.250000000000007</v>
      </c>
      <c r="K43" s="22" t="str">
        <f t="shared" ca="1" si="9"/>
        <v>C5</v>
      </c>
      <c r="L43" s="22" t="s">
        <v>20</v>
      </c>
    </row>
    <row r="44" spans="2:12" x14ac:dyDescent="0.3">
      <c r="B44" s="22">
        <f t="shared" si="0"/>
        <v>37</v>
      </c>
      <c r="C44" s="11">
        <f t="shared" ca="1" si="1"/>
        <v>44416</v>
      </c>
      <c r="D44" s="22" t="str">
        <f t="shared" ca="1" si="2"/>
        <v>CARRO GRANDE</v>
      </c>
      <c r="E44" s="22" t="str">
        <f t="shared" ca="1" si="3"/>
        <v>EKXP-7845</v>
      </c>
      <c r="F44" s="20" t="str">
        <f t="shared" ca="1" si="4"/>
        <v>10:23</v>
      </c>
      <c r="G44" s="20" t="str">
        <f t="shared" ca="1" si="5"/>
        <v>12:13</v>
      </c>
      <c r="H44" s="20">
        <f t="shared" ca="1" si="6"/>
        <v>7.6388888888888895E-2</v>
      </c>
      <c r="I44" s="22" t="str">
        <f t="shared" ca="1" si="7"/>
        <v>Dinheiro</v>
      </c>
      <c r="J44" s="17">
        <f t="shared" ca="1" si="8"/>
        <v>36.666666666666671</v>
      </c>
      <c r="K44" s="22" t="str">
        <f t="shared" ca="1" si="9"/>
        <v>B2</v>
      </c>
      <c r="L44" s="22" t="s">
        <v>20</v>
      </c>
    </row>
    <row r="45" spans="2:12" x14ac:dyDescent="0.3">
      <c r="B45" s="22">
        <f t="shared" si="0"/>
        <v>38</v>
      </c>
      <c r="C45" s="11">
        <f t="shared" ca="1" si="1"/>
        <v>44451</v>
      </c>
      <c r="D45" s="22" t="str">
        <f t="shared" ca="1" si="2"/>
        <v>CARRO MÉDIO</v>
      </c>
      <c r="E45" s="22" t="str">
        <f t="shared" ca="1" si="3"/>
        <v>FHQH-5443</v>
      </c>
      <c r="F45" s="20" t="str">
        <f t="shared" ca="1" si="4"/>
        <v>11:54</v>
      </c>
      <c r="G45" s="20" t="str">
        <f t="shared" ca="1" si="5"/>
        <v>12:52</v>
      </c>
      <c r="H45" s="20">
        <f t="shared" ca="1" si="6"/>
        <v>4.0277777777777746E-2</v>
      </c>
      <c r="I45" s="22" t="str">
        <f t="shared" ca="1" si="7"/>
        <v>Dinheiro</v>
      </c>
      <c r="J45" s="17">
        <f t="shared" ca="1" si="8"/>
        <v>14.499999999999989</v>
      </c>
      <c r="K45" s="22" t="str">
        <f t="shared" ca="1" si="9"/>
        <v>B4</v>
      </c>
      <c r="L45" s="22" t="s">
        <v>20</v>
      </c>
    </row>
    <row r="46" spans="2:12" x14ac:dyDescent="0.3">
      <c r="B46" s="22">
        <f t="shared" si="0"/>
        <v>39</v>
      </c>
      <c r="C46" s="11">
        <f t="shared" ca="1" si="1"/>
        <v>44434</v>
      </c>
      <c r="D46" s="22" t="str">
        <f t="shared" ca="1" si="2"/>
        <v>CARRO GRANDE</v>
      </c>
      <c r="E46" s="22" t="str">
        <f t="shared" ca="1" si="3"/>
        <v>YPEE-8257</v>
      </c>
      <c r="F46" s="20" t="str">
        <f t="shared" ca="1" si="4"/>
        <v>08:30</v>
      </c>
      <c r="G46" s="20" t="str">
        <f t="shared" ca="1" si="5"/>
        <v>14:57</v>
      </c>
      <c r="H46" s="20">
        <f t="shared" ca="1" si="6"/>
        <v>0.26874999999999999</v>
      </c>
      <c r="I46" s="22" t="str">
        <f t="shared" ca="1" si="7"/>
        <v>Cartão</v>
      </c>
      <c r="J46" s="17">
        <f t="shared" ca="1" si="8"/>
        <v>129</v>
      </c>
      <c r="K46" s="22" t="str">
        <f t="shared" ca="1" si="9"/>
        <v>A4</v>
      </c>
      <c r="L46" s="22" t="s">
        <v>20</v>
      </c>
    </row>
    <row r="47" spans="2:12" x14ac:dyDescent="0.3">
      <c r="B47" s="22">
        <f t="shared" si="0"/>
        <v>40</v>
      </c>
      <c r="C47" s="11">
        <f t="shared" ca="1" si="1"/>
        <v>44361</v>
      </c>
      <c r="D47" s="22" t="str">
        <f t="shared" ca="1" si="2"/>
        <v>CARRO PEQUENO</v>
      </c>
      <c r="E47" s="22" t="str">
        <f t="shared" ca="1" si="3"/>
        <v>CTIN-7242</v>
      </c>
      <c r="F47" s="20" t="str">
        <f t="shared" ca="1" si="4"/>
        <v>09:33</v>
      </c>
      <c r="G47" s="20" t="str">
        <f t="shared" ca="1" si="5"/>
        <v>14:27</v>
      </c>
      <c r="H47" s="20">
        <f t="shared" ca="1" si="6"/>
        <v>0.20416666666666661</v>
      </c>
      <c r="I47" s="22" t="str">
        <f t="shared" ca="1" si="7"/>
        <v>Cartão</v>
      </c>
      <c r="J47" s="17">
        <f t="shared" ca="1" si="8"/>
        <v>58.799999999999983</v>
      </c>
      <c r="K47" s="22" t="str">
        <f t="shared" ca="1" si="9"/>
        <v>A2</v>
      </c>
      <c r="L47" s="22" t="s">
        <v>20</v>
      </c>
    </row>
    <row r="48" spans="2:12" x14ac:dyDescent="0.3">
      <c r="B48" s="22">
        <f t="shared" si="0"/>
        <v>41</v>
      </c>
      <c r="C48" s="11">
        <f t="shared" ca="1" si="1"/>
        <v>44418</v>
      </c>
      <c r="D48" s="22" t="str">
        <f t="shared" ca="1" si="2"/>
        <v>CARRO GRANDE</v>
      </c>
      <c r="E48" s="22" t="str">
        <f t="shared" ca="1" si="3"/>
        <v>TJVP-3706</v>
      </c>
      <c r="F48" s="20" t="str">
        <f t="shared" ca="1" si="4"/>
        <v>11:23</v>
      </c>
      <c r="G48" s="20" t="str">
        <f t="shared" ca="1" si="5"/>
        <v>15:11</v>
      </c>
      <c r="H48" s="20">
        <f t="shared" ca="1" si="6"/>
        <v>0.15833333333333333</v>
      </c>
      <c r="I48" s="22" t="str">
        <f t="shared" ca="1" si="7"/>
        <v>Cartão</v>
      </c>
      <c r="J48" s="17">
        <f t="shared" ca="1" si="8"/>
        <v>76</v>
      </c>
      <c r="K48" s="22" t="str">
        <f t="shared" ca="1" si="9"/>
        <v>B2</v>
      </c>
      <c r="L48" s="22" t="s">
        <v>20</v>
      </c>
    </row>
    <row r="49" spans="2:12" x14ac:dyDescent="0.3">
      <c r="B49" s="22">
        <f t="shared" si="0"/>
        <v>42</v>
      </c>
      <c r="C49" s="11">
        <f t="shared" ca="1" si="1"/>
        <v>44427</v>
      </c>
      <c r="D49" s="22" t="str">
        <f t="shared" ca="1" si="2"/>
        <v>CARRO PEQUENO</v>
      </c>
      <c r="E49" s="22" t="str">
        <f t="shared" ca="1" si="3"/>
        <v>DPMN-5367</v>
      </c>
      <c r="F49" s="20" t="str">
        <f t="shared" ca="1" si="4"/>
        <v>09:30</v>
      </c>
      <c r="G49" s="20" t="str">
        <f t="shared" ca="1" si="5"/>
        <v>15:01</v>
      </c>
      <c r="H49" s="20">
        <f t="shared" ca="1" si="6"/>
        <v>0.22986111111111113</v>
      </c>
      <c r="I49" s="22" t="str">
        <f t="shared" ca="1" si="7"/>
        <v>Cartão</v>
      </c>
      <c r="J49" s="17">
        <f t="shared" ca="1" si="8"/>
        <v>66.200000000000017</v>
      </c>
      <c r="K49" s="22" t="str">
        <f t="shared" ca="1" si="9"/>
        <v>C5</v>
      </c>
      <c r="L49" s="22" t="s">
        <v>20</v>
      </c>
    </row>
    <row r="50" spans="2:12" x14ac:dyDescent="0.3">
      <c r="B50" s="22">
        <f t="shared" si="0"/>
        <v>43</v>
      </c>
      <c r="C50" s="11">
        <f t="shared" ca="1" si="1"/>
        <v>44414</v>
      </c>
      <c r="D50" s="22" t="str">
        <f t="shared" ca="1" si="2"/>
        <v>CARRO PEQUENO</v>
      </c>
      <c r="E50" s="22" t="str">
        <f t="shared" ca="1" si="3"/>
        <v>ATUQ-9934</v>
      </c>
      <c r="F50" s="20" t="str">
        <f t="shared" ca="1" si="4"/>
        <v>11:47</v>
      </c>
      <c r="G50" s="20" t="str">
        <f t="shared" ca="1" si="5"/>
        <v>12:12</v>
      </c>
      <c r="H50" s="20">
        <f t="shared" ca="1" si="6"/>
        <v>1.7361111111111105E-2</v>
      </c>
      <c r="I50" s="22" t="str">
        <f t="shared" ca="1" si="7"/>
        <v>Dinheiro</v>
      </c>
      <c r="J50" s="17">
        <f t="shared" ca="1" si="8"/>
        <v>4.9999999999999982</v>
      </c>
      <c r="K50" s="22" t="str">
        <f t="shared" ca="1" si="9"/>
        <v>B5</v>
      </c>
      <c r="L50" s="22" t="s">
        <v>20</v>
      </c>
    </row>
    <row r="51" spans="2:12" x14ac:dyDescent="0.3">
      <c r="B51" s="22">
        <f t="shared" si="0"/>
        <v>44</v>
      </c>
      <c r="C51" s="11">
        <f t="shared" ca="1" si="1"/>
        <v>44382</v>
      </c>
      <c r="D51" s="22" t="str">
        <f t="shared" ca="1" si="2"/>
        <v>CARRO GRANDE</v>
      </c>
      <c r="E51" s="22" t="str">
        <f t="shared" ca="1" si="3"/>
        <v>NZGA-9692</v>
      </c>
      <c r="F51" s="20" t="str">
        <f t="shared" ca="1" si="4"/>
        <v>08:02</v>
      </c>
      <c r="G51" s="20" t="str">
        <f t="shared" ca="1" si="5"/>
        <v>12:52</v>
      </c>
      <c r="H51" s="20">
        <f t="shared" ca="1" si="6"/>
        <v>0.2013888888888889</v>
      </c>
      <c r="I51" s="22" t="str">
        <f t="shared" ca="1" si="7"/>
        <v>Dinheiro</v>
      </c>
      <c r="J51" s="17">
        <f t="shared" ca="1" si="8"/>
        <v>96.666666666666686</v>
      </c>
      <c r="K51" s="22" t="str">
        <f t="shared" ca="1" si="9"/>
        <v>A1</v>
      </c>
      <c r="L51" s="22" t="s">
        <v>20</v>
      </c>
    </row>
    <row r="52" spans="2:12" x14ac:dyDescent="0.3">
      <c r="B52" s="22">
        <f t="shared" si="0"/>
        <v>45</v>
      </c>
      <c r="C52" s="11">
        <f t="shared" ca="1" si="1"/>
        <v>44390</v>
      </c>
      <c r="D52" s="22" t="str">
        <f t="shared" ca="1" si="2"/>
        <v>CARRO GRANDE</v>
      </c>
      <c r="E52" s="22" t="str">
        <f t="shared" ca="1" si="3"/>
        <v>AINY-4186</v>
      </c>
      <c r="F52" s="20" t="str">
        <f t="shared" ca="1" si="4"/>
        <v>07:22</v>
      </c>
      <c r="G52" s="20" t="str">
        <f t="shared" ca="1" si="5"/>
        <v>14:25</v>
      </c>
      <c r="H52" s="20">
        <f t="shared" ca="1" si="6"/>
        <v>0.29375000000000001</v>
      </c>
      <c r="I52" s="22" t="str">
        <f t="shared" ca="1" si="7"/>
        <v>Dinheiro</v>
      </c>
      <c r="J52" s="17">
        <f t="shared" ca="1" si="8"/>
        <v>141</v>
      </c>
      <c r="K52" s="22" t="str">
        <f t="shared" ca="1" si="9"/>
        <v>B4</v>
      </c>
      <c r="L52" s="22" t="s">
        <v>20</v>
      </c>
    </row>
    <row r="53" spans="2:12" x14ac:dyDescent="0.3">
      <c r="B53" s="22">
        <f t="shared" si="0"/>
        <v>46</v>
      </c>
      <c r="C53" s="11">
        <f t="shared" ca="1" si="1"/>
        <v>44366</v>
      </c>
      <c r="D53" s="22" t="str">
        <f t="shared" ca="1" si="2"/>
        <v>CARRO GRANDE</v>
      </c>
      <c r="E53" s="22" t="str">
        <f t="shared" ca="1" si="3"/>
        <v>AYCE-5235</v>
      </c>
      <c r="F53" s="20" t="str">
        <f t="shared" ca="1" si="4"/>
        <v>11:53</v>
      </c>
      <c r="G53" s="20" t="str">
        <f t="shared" ca="1" si="5"/>
        <v>14:33</v>
      </c>
      <c r="H53" s="20">
        <f t="shared" ca="1" si="6"/>
        <v>0.11111111111111122</v>
      </c>
      <c r="I53" s="22" t="str">
        <f t="shared" ca="1" si="7"/>
        <v>Dinheiro</v>
      </c>
      <c r="J53" s="17">
        <f t="shared" ca="1" si="8"/>
        <v>53.333333333333385</v>
      </c>
      <c r="K53" s="22" t="str">
        <f t="shared" ca="1" si="9"/>
        <v>A3</v>
      </c>
      <c r="L53" s="22" t="s">
        <v>20</v>
      </c>
    </row>
    <row r="54" spans="2:12" x14ac:dyDescent="0.3">
      <c r="B54" s="22">
        <f t="shared" si="0"/>
        <v>47</v>
      </c>
      <c r="C54" s="11">
        <f t="shared" ca="1" si="1"/>
        <v>44448</v>
      </c>
      <c r="D54" s="22" t="str">
        <f t="shared" ca="1" si="2"/>
        <v>CARRO MÉDIO</v>
      </c>
      <c r="E54" s="22" t="str">
        <f t="shared" ca="1" si="3"/>
        <v>JLAG-7529</v>
      </c>
      <c r="F54" s="20" t="str">
        <f t="shared" ca="1" si="4"/>
        <v>08:48</v>
      </c>
      <c r="G54" s="20" t="str">
        <f t="shared" ca="1" si="5"/>
        <v>15:48</v>
      </c>
      <c r="H54" s="20">
        <f t="shared" ca="1" si="6"/>
        <v>0.29166666666666663</v>
      </c>
      <c r="I54" s="22" t="str">
        <f t="shared" ca="1" si="7"/>
        <v>Dinheiro</v>
      </c>
      <c r="J54" s="17">
        <f t="shared" ca="1" si="8"/>
        <v>104.99999999999999</v>
      </c>
      <c r="K54" s="22" t="str">
        <f t="shared" ca="1" si="9"/>
        <v>B5</v>
      </c>
      <c r="L54" s="22" t="s">
        <v>20</v>
      </c>
    </row>
    <row r="55" spans="2:12" x14ac:dyDescent="0.3">
      <c r="B55" s="22">
        <f t="shared" si="0"/>
        <v>48</v>
      </c>
      <c r="C55" s="11">
        <f t="shared" ca="1" si="1"/>
        <v>44445</v>
      </c>
      <c r="D55" s="22" t="str">
        <f t="shared" ca="1" si="2"/>
        <v>CARRO GRANDE</v>
      </c>
      <c r="E55" s="22" t="str">
        <f t="shared" ca="1" si="3"/>
        <v>VAHR-6408</v>
      </c>
      <c r="F55" s="20" t="str">
        <f t="shared" ca="1" si="4"/>
        <v>11:34</v>
      </c>
      <c r="G55" s="20" t="str">
        <f t="shared" ca="1" si="5"/>
        <v>12:45</v>
      </c>
      <c r="H55" s="20">
        <f t="shared" ca="1" si="6"/>
        <v>4.9305555555555547E-2</v>
      </c>
      <c r="I55" s="22" t="str">
        <f t="shared" ca="1" si="7"/>
        <v>Cartão</v>
      </c>
      <c r="J55" s="17">
        <f t="shared" ca="1" si="8"/>
        <v>23.666666666666664</v>
      </c>
      <c r="K55" s="22" t="str">
        <f t="shared" ca="1" si="9"/>
        <v>C4</v>
      </c>
      <c r="L55" s="22" t="s">
        <v>20</v>
      </c>
    </row>
    <row r="56" spans="2:12" x14ac:dyDescent="0.3">
      <c r="B56" s="22">
        <f t="shared" si="0"/>
        <v>49</v>
      </c>
      <c r="C56" s="11">
        <f t="shared" ca="1" si="1"/>
        <v>44378</v>
      </c>
      <c r="D56" s="22" t="str">
        <f t="shared" ca="1" si="2"/>
        <v>CARRO MÉDIO</v>
      </c>
      <c r="E56" s="22" t="str">
        <f t="shared" ca="1" si="3"/>
        <v>MKNS-6223</v>
      </c>
      <c r="F56" s="20" t="str">
        <f t="shared" ca="1" si="4"/>
        <v>07:46</v>
      </c>
      <c r="G56" s="20" t="str">
        <f t="shared" ca="1" si="5"/>
        <v>13:25</v>
      </c>
      <c r="H56" s="20">
        <f t="shared" ca="1" si="6"/>
        <v>0.23541666666666666</v>
      </c>
      <c r="I56" s="22" t="str">
        <f t="shared" ca="1" si="7"/>
        <v>Cartão</v>
      </c>
      <c r="J56" s="17">
        <f t="shared" ca="1" si="8"/>
        <v>84.75</v>
      </c>
      <c r="K56" s="22" t="str">
        <f t="shared" ca="1" si="9"/>
        <v>C5</v>
      </c>
      <c r="L56" s="22" t="s">
        <v>20</v>
      </c>
    </row>
    <row r="57" spans="2:12" x14ac:dyDescent="0.3">
      <c r="B57" s="22">
        <f t="shared" si="0"/>
        <v>50</v>
      </c>
      <c r="C57" s="11">
        <f t="shared" ca="1" si="1"/>
        <v>44364</v>
      </c>
      <c r="D57" s="22" t="str">
        <f t="shared" ca="1" si="2"/>
        <v>MOTO</v>
      </c>
      <c r="E57" s="22" t="str">
        <f t="shared" ca="1" si="3"/>
        <v>MNJL-4001</v>
      </c>
      <c r="F57" s="20" t="str">
        <f t="shared" ca="1" si="4"/>
        <v>08:44</v>
      </c>
      <c r="G57" s="20" t="str">
        <f t="shared" ca="1" si="5"/>
        <v>15:54</v>
      </c>
      <c r="H57" s="20">
        <f t="shared" ca="1" si="6"/>
        <v>0.2986111111111111</v>
      </c>
      <c r="I57" s="22" t="str">
        <f t="shared" ca="1" si="7"/>
        <v>Dinheiro</v>
      </c>
      <c r="J57" s="17">
        <f t="shared" ca="1" si="8"/>
        <v>64.5</v>
      </c>
      <c r="K57" s="22" t="str">
        <f t="shared" ca="1" si="9"/>
        <v>B4</v>
      </c>
      <c r="L57" s="22" t="s">
        <v>20</v>
      </c>
    </row>
    <row r="58" spans="2:12" x14ac:dyDescent="0.3">
      <c r="B58" s="22">
        <f t="shared" si="0"/>
        <v>51</v>
      </c>
      <c r="C58" s="11">
        <f t="shared" ca="1" si="1"/>
        <v>44357</v>
      </c>
      <c r="D58" s="22" t="str">
        <f t="shared" ca="1" si="2"/>
        <v>CARRO MÉDIO</v>
      </c>
      <c r="E58" s="22" t="str">
        <f t="shared" ca="1" si="3"/>
        <v>FEJB-3142</v>
      </c>
      <c r="F58" s="20" t="str">
        <f t="shared" ca="1" si="4"/>
        <v>08:17</v>
      </c>
      <c r="G58" s="20" t="str">
        <f t="shared" ca="1" si="5"/>
        <v>13:31</v>
      </c>
      <c r="H58" s="20">
        <f t="shared" ca="1" si="6"/>
        <v>0.21805555555555556</v>
      </c>
      <c r="I58" s="22" t="str">
        <f t="shared" ca="1" si="7"/>
        <v>Dinheiro</v>
      </c>
      <c r="J58" s="17">
        <f t="shared" ca="1" si="8"/>
        <v>78.5</v>
      </c>
      <c r="K58" s="22" t="str">
        <f t="shared" ca="1" si="9"/>
        <v>C1</v>
      </c>
      <c r="L58" s="22" t="s">
        <v>20</v>
      </c>
    </row>
    <row r="59" spans="2:12" x14ac:dyDescent="0.3">
      <c r="B59" s="22">
        <f t="shared" si="0"/>
        <v>52</v>
      </c>
      <c r="C59" s="11">
        <f t="shared" ca="1" si="1"/>
        <v>44378</v>
      </c>
      <c r="D59" s="22" t="str">
        <f t="shared" ca="1" si="2"/>
        <v>MOTO</v>
      </c>
      <c r="E59" s="22" t="str">
        <f t="shared" ca="1" si="3"/>
        <v>GLTM-7993</v>
      </c>
      <c r="F59" s="20" t="str">
        <f t="shared" ca="1" si="4"/>
        <v>09:13</v>
      </c>
      <c r="G59" s="20" t="str">
        <f t="shared" ca="1" si="5"/>
        <v>14:21</v>
      </c>
      <c r="H59" s="20">
        <f t="shared" ca="1" si="6"/>
        <v>0.21388888888888885</v>
      </c>
      <c r="I59" s="22" t="str">
        <f t="shared" ca="1" si="7"/>
        <v>Cartão</v>
      </c>
      <c r="J59" s="17">
        <f t="shared" ca="1" si="8"/>
        <v>46.199999999999996</v>
      </c>
      <c r="K59" s="22" t="str">
        <f t="shared" ca="1" si="9"/>
        <v>B5</v>
      </c>
      <c r="L59" s="22" t="s">
        <v>20</v>
      </c>
    </row>
    <row r="60" spans="2:12" x14ac:dyDescent="0.3">
      <c r="B60" s="22">
        <f t="shared" si="0"/>
        <v>53</v>
      </c>
      <c r="C60" s="11">
        <f t="shared" ca="1" si="1"/>
        <v>44370</v>
      </c>
      <c r="D60" s="22" t="str">
        <f t="shared" ca="1" si="2"/>
        <v>CARRO MÉDIO</v>
      </c>
      <c r="E60" s="22" t="str">
        <f t="shared" ca="1" si="3"/>
        <v>LWVN-7869</v>
      </c>
      <c r="F60" s="20" t="str">
        <f t="shared" ca="1" si="4"/>
        <v>08:26</v>
      </c>
      <c r="G60" s="20" t="str">
        <f t="shared" ca="1" si="5"/>
        <v>13:03</v>
      </c>
      <c r="H60" s="20">
        <f t="shared" ca="1" si="6"/>
        <v>0.19236111111111115</v>
      </c>
      <c r="I60" s="22" t="str">
        <f t="shared" ca="1" si="7"/>
        <v>Cartão</v>
      </c>
      <c r="J60" s="17">
        <f t="shared" ca="1" si="8"/>
        <v>69.25</v>
      </c>
      <c r="K60" s="22" t="str">
        <f t="shared" ca="1" si="9"/>
        <v>B5</v>
      </c>
      <c r="L60" s="22" t="s">
        <v>20</v>
      </c>
    </row>
    <row r="61" spans="2:12" x14ac:dyDescent="0.3">
      <c r="B61" s="22">
        <f t="shared" si="0"/>
        <v>54</v>
      </c>
      <c r="C61" s="11">
        <f t="shared" ca="1" si="1"/>
        <v>44375</v>
      </c>
      <c r="D61" s="22" t="str">
        <f t="shared" ca="1" si="2"/>
        <v>CARRO GRANDE</v>
      </c>
      <c r="E61" s="22" t="str">
        <f t="shared" ca="1" si="3"/>
        <v>VJXG-6539</v>
      </c>
      <c r="F61" s="20" t="str">
        <f t="shared" ca="1" si="4"/>
        <v>10:36</v>
      </c>
      <c r="G61" s="20" t="str">
        <f t="shared" ca="1" si="5"/>
        <v>12:11</v>
      </c>
      <c r="H61" s="20">
        <f t="shared" ca="1" si="6"/>
        <v>6.597222222222221E-2</v>
      </c>
      <c r="I61" s="22" t="str">
        <f t="shared" ca="1" si="7"/>
        <v>Cartão</v>
      </c>
      <c r="J61" s="17">
        <f t="shared" ca="1" si="8"/>
        <v>31.666666666666661</v>
      </c>
      <c r="K61" s="22" t="str">
        <f t="shared" ca="1" si="9"/>
        <v>A4</v>
      </c>
      <c r="L61" s="22" t="s">
        <v>20</v>
      </c>
    </row>
    <row r="62" spans="2:12" x14ac:dyDescent="0.3">
      <c r="B62" s="22">
        <f t="shared" si="0"/>
        <v>55</v>
      </c>
      <c r="C62" s="11">
        <f t="shared" ca="1" si="1"/>
        <v>44464</v>
      </c>
      <c r="D62" s="22" t="str">
        <f t="shared" ca="1" si="2"/>
        <v>CARRO MÉDIO</v>
      </c>
      <c r="E62" s="22" t="str">
        <f t="shared" ca="1" si="3"/>
        <v>TLEJ-5261</v>
      </c>
      <c r="F62" s="20" t="str">
        <f t="shared" ca="1" si="4"/>
        <v>08:13</v>
      </c>
      <c r="G62" s="20" t="str">
        <f t="shared" ca="1" si="5"/>
        <v>14:36</v>
      </c>
      <c r="H62" s="20">
        <f t="shared" ca="1" si="6"/>
        <v>0.26597222222222217</v>
      </c>
      <c r="I62" s="22" t="str">
        <f t="shared" ca="1" si="7"/>
        <v>Dinheiro</v>
      </c>
      <c r="J62" s="17">
        <f t="shared" ca="1" si="8"/>
        <v>95.749999999999986</v>
      </c>
      <c r="K62" s="22" t="str">
        <f t="shared" ca="1" si="9"/>
        <v>C5</v>
      </c>
      <c r="L62" s="22" t="s">
        <v>20</v>
      </c>
    </row>
    <row r="63" spans="2:12" x14ac:dyDescent="0.3">
      <c r="B63" s="22">
        <f t="shared" si="0"/>
        <v>56</v>
      </c>
      <c r="C63" s="11">
        <f t="shared" ca="1" si="1"/>
        <v>44421</v>
      </c>
      <c r="D63" s="22" t="str">
        <f t="shared" ca="1" si="2"/>
        <v>CARRO GRANDE</v>
      </c>
      <c r="E63" s="22" t="str">
        <f t="shared" ca="1" si="3"/>
        <v>YWFT-3415</v>
      </c>
      <c r="F63" s="20" t="str">
        <f t="shared" ca="1" si="4"/>
        <v>08:01</v>
      </c>
      <c r="G63" s="20" t="str">
        <f t="shared" ca="1" si="5"/>
        <v>14:11</v>
      </c>
      <c r="H63" s="20">
        <f t="shared" ca="1" si="6"/>
        <v>0.25694444444444442</v>
      </c>
      <c r="I63" s="22" t="str">
        <f t="shared" ca="1" si="7"/>
        <v>Cartão</v>
      </c>
      <c r="J63" s="17">
        <f t="shared" ca="1" si="8"/>
        <v>123.33333333333331</v>
      </c>
      <c r="K63" s="22" t="str">
        <f t="shared" ca="1" si="9"/>
        <v>C4</v>
      </c>
      <c r="L63" s="22" t="s">
        <v>20</v>
      </c>
    </row>
    <row r="64" spans="2:12" x14ac:dyDescent="0.3">
      <c r="B64" s="22">
        <f t="shared" si="0"/>
        <v>57</v>
      </c>
      <c r="C64" s="11">
        <f t="shared" ca="1" si="1"/>
        <v>44398</v>
      </c>
      <c r="D64" s="22" t="str">
        <f t="shared" ca="1" si="2"/>
        <v>MOTO</v>
      </c>
      <c r="E64" s="22" t="str">
        <f t="shared" ca="1" si="3"/>
        <v>GGIN-5535</v>
      </c>
      <c r="F64" s="20" t="str">
        <f t="shared" ca="1" si="4"/>
        <v>11:25</v>
      </c>
      <c r="G64" s="20" t="str">
        <f t="shared" ca="1" si="5"/>
        <v>15:48</v>
      </c>
      <c r="H64" s="20">
        <f t="shared" ca="1" si="6"/>
        <v>0.18263888888888891</v>
      </c>
      <c r="I64" s="22" t="str">
        <f t="shared" ca="1" si="7"/>
        <v>Dinheiro</v>
      </c>
      <c r="J64" s="17">
        <f t="shared" ca="1" si="8"/>
        <v>39.450000000000003</v>
      </c>
      <c r="K64" s="22" t="str">
        <f t="shared" ca="1" si="9"/>
        <v>A1</v>
      </c>
      <c r="L64" s="22" t="s">
        <v>20</v>
      </c>
    </row>
    <row r="65" spans="2:12" x14ac:dyDescent="0.3">
      <c r="B65" s="22">
        <f t="shared" si="0"/>
        <v>58</v>
      </c>
      <c r="C65" s="11">
        <f t="shared" ca="1" si="1"/>
        <v>44444</v>
      </c>
      <c r="D65" s="22" t="str">
        <f t="shared" ca="1" si="2"/>
        <v>CARRO GRANDE</v>
      </c>
      <c r="E65" s="22" t="str">
        <f t="shared" ca="1" si="3"/>
        <v>ITJX-1702</v>
      </c>
      <c r="F65" s="20" t="str">
        <f t="shared" ca="1" si="4"/>
        <v>11:03</v>
      </c>
      <c r="G65" s="20" t="str">
        <f t="shared" ca="1" si="5"/>
        <v>12:49</v>
      </c>
      <c r="H65" s="20">
        <f t="shared" ca="1" si="6"/>
        <v>7.3611111111111072E-2</v>
      </c>
      <c r="I65" s="22" t="str">
        <f t="shared" ca="1" si="7"/>
        <v>Dinheiro</v>
      </c>
      <c r="J65" s="17">
        <f t="shared" ca="1" si="8"/>
        <v>35.333333333333314</v>
      </c>
      <c r="K65" s="22" t="str">
        <f t="shared" ca="1" si="9"/>
        <v>B1</v>
      </c>
      <c r="L65" s="22" t="s">
        <v>20</v>
      </c>
    </row>
    <row r="66" spans="2:12" x14ac:dyDescent="0.3">
      <c r="B66" s="22">
        <f t="shared" si="0"/>
        <v>59</v>
      </c>
      <c r="C66" s="11">
        <f t="shared" ca="1" si="1"/>
        <v>44441</v>
      </c>
      <c r="D66" s="22" t="str">
        <f t="shared" ca="1" si="2"/>
        <v>MOTO</v>
      </c>
      <c r="E66" s="22" t="str">
        <f t="shared" ca="1" si="3"/>
        <v>QNKJ-3095</v>
      </c>
      <c r="F66" s="20" t="str">
        <f t="shared" ca="1" si="4"/>
        <v>07:20</v>
      </c>
      <c r="G66" s="20" t="str">
        <f t="shared" ca="1" si="5"/>
        <v>15:59</v>
      </c>
      <c r="H66" s="20">
        <f t="shared" ca="1" si="6"/>
        <v>0.36041666666666666</v>
      </c>
      <c r="I66" s="22" t="str">
        <f t="shared" ca="1" si="7"/>
        <v>Dinheiro</v>
      </c>
      <c r="J66" s="17">
        <f t="shared" ca="1" si="8"/>
        <v>77.850000000000009</v>
      </c>
      <c r="K66" s="22" t="str">
        <f t="shared" ca="1" si="9"/>
        <v>B3</v>
      </c>
      <c r="L66" s="22" t="s">
        <v>20</v>
      </c>
    </row>
    <row r="67" spans="2:12" x14ac:dyDescent="0.3">
      <c r="B67" s="22">
        <f t="shared" si="0"/>
        <v>60</v>
      </c>
      <c r="C67" s="11">
        <f t="shared" ca="1" si="1"/>
        <v>44428</v>
      </c>
      <c r="D67" s="22" t="str">
        <f t="shared" ca="1" si="2"/>
        <v>CARRO GRANDE</v>
      </c>
      <c r="E67" s="22" t="str">
        <f t="shared" ca="1" si="3"/>
        <v>BUVM-9713</v>
      </c>
      <c r="F67" s="20" t="str">
        <f t="shared" ca="1" si="4"/>
        <v>07:12</v>
      </c>
      <c r="G67" s="20" t="str">
        <f t="shared" ca="1" si="5"/>
        <v>15:23</v>
      </c>
      <c r="H67" s="20">
        <f t="shared" ca="1" si="6"/>
        <v>0.34097222222222218</v>
      </c>
      <c r="I67" s="22" t="str">
        <f t="shared" ca="1" si="7"/>
        <v>Cartão</v>
      </c>
      <c r="J67" s="17">
        <f t="shared" ca="1" si="8"/>
        <v>163.66666666666663</v>
      </c>
      <c r="K67" s="22" t="str">
        <f t="shared" ca="1" si="9"/>
        <v>A5</v>
      </c>
      <c r="L67" s="22" t="s">
        <v>20</v>
      </c>
    </row>
    <row r="68" spans="2:12" x14ac:dyDescent="0.3">
      <c r="B68" s="22">
        <f t="shared" si="0"/>
        <v>61</v>
      </c>
      <c r="C68" s="11">
        <f t="shared" ca="1" si="1"/>
        <v>44378</v>
      </c>
      <c r="D68" s="22" t="str">
        <f t="shared" ca="1" si="2"/>
        <v>CARRO PEQUENO</v>
      </c>
      <c r="E68" s="22" t="str">
        <f t="shared" ca="1" si="3"/>
        <v>SIRA-2190</v>
      </c>
      <c r="F68" s="20" t="str">
        <f t="shared" ca="1" si="4"/>
        <v>07:46</v>
      </c>
      <c r="G68" s="20" t="str">
        <f t="shared" ca="1" si="5"/>
        <v>12:12</v>
      </c>
      <c r="H68" s="20">
        <f t="shared" ca="1" si="6"/>
        <v>0.18472222222222218</v>
      </c>
      <c r="I68" s="22" t="str">
        <f t="shared" ca="1" si="7"/>
        <v>Dinheiro</v>
      </c>
      <c r="J68" s="17">
        <f t="shared" ca="1" si="8"/>
        <v>53.199999999999982</v>
      </c>
      <c r="K68" s="22" t="str">
        <f t="shared" ca="1" si="9"/>
        <v>A5</v>
      </c>
      <c r="L68" s="22" t="s">
        <v>20</v>
      </c>
    </row>
    <row r="69" spans="2:12" x14ac:dyDescent="0.3">
      <c r="B69" s="22">
        <f t="shared" si="0"/>
        <v>62</v>
      </c>
      <c r="C69" s="11">
        <f t="shared" ca="1" si="1"/>
        <v>44443</v>
      </c>
      <c r="D69" s="22" t="str">
        <f t="shared" ca="1" si="2"/>
        <v>MOTO</v>
      </c>
      <c r="E69" s="22" t="str">
        <f t="shared" ca="1" si="3"/>
        <v>UPVU-2469</v>
      </c>
      <c r="F69" s="20" t="str">
        <f t="shared" ca="1" si="4"/>
        <v>10:12</v>
      </c>
      <c r="G69" s="20" t="str">
        <f t="shared" ca="1" si="5"/>
        <v>13:37</v>
      </c>
      <c r="H69" s="20">
        <f t="shared" ca="1" si="6"/>
        <v>0.1423611111111111</v>
      </c>
      <c r="I69" s="22" t="str">
        <f t="shared" ca="1" si="7"/>
        <v>Dinheiro</v>
      </c>
      <c r="J69" s="17">
        <f t="shared" ca="1" si="8"/>
        <v>30.75</v>
      </c>
      <c r="K69" s="22" t="str">
        <f t="shared" ca="1" si="9"/>
        <v>A4</v>
      </c>
      <c r="L69" s="22" t="s">
        <v>20</v>
      </c>
    </row>
    <row r="70" spans="2:12" x14ac:dyDescent="0.3">
      <c r="B70" s="22">
        <f t="shared" si="0"/>
        <v>63</v>
      </c>
      <c r="C70" s="11">
        <f t="shared" ca="1" si="1"/>
        <v>44379</v>
      </c>
      <c r="D70" s="22" t="str">
        <f t="shared" ca="1" si="2"/>
        <v>CARRO MÉDIO</v>
      </c>
      <c r="E70" s="22" t="str">
        <f t="shared" ca="1" si="3"/>
        <v>TTTJ-1748</v>
      </c>
      <c r="F70" s="20" t="str">
        <f t="shared" ca="1" si="4"/>
        <v>07:56</v>
      </c>
      <c r="G70" s="20" t="str">
        <f t="shared" ca="1" si="5"/>
        <v>14:47</v>
      </c>
      <c r="H70" s="20">
        <f t="shared" ca="1" si="6"/>
        <v>0.28541666666666671</v>
      </c>
      <c r="I70" s="22" t="str">
        <f t="shared" ca="1" si="7"/>
        <v>Cartão</v>
      </c>
      <c r="J70" s="17">
        <f t="shared" ca="1" si="8"/>
        <v>102.75000000000003</v>
      </c>
      <c r="K70" s="22" t="str">
        <f t="shared" ca="1" si="9"/>
        <v>B2</v>
      </c>
      <c r="L70" s="22" t="s">
        <v>20</v>
      </c>
    </row>
    <row r="71" spans="2:12" x14ac:dyDescent="0.3">
      <c r="B71" s="22">
        <f t="shared" si="0"/>
        <v>64</v>
      </c>
      <c r="C71" s="11">
        <f t="shared" ca="1" si="1"/>
        <v>44450</v>
      </c>
      <c r="D71" s="22" t="str">
        <f t="shared" ca="1" si="2"/>
        <v>CARRO GRANDE</v>
      </c>
      <c r="E71" s="22" t="str">
        <f t="shared" ca="1" si="3"/>
        <v>XHOF-3543</v>
      </c>
      <c r="F71" s="20" t="str">
        <f t="shared" ca="1" si="4"/>
        <v>10:21</v>
      </c>
      <c r="G71" s="20" t="str">
        <f t="shared" ca="1" si="5"/>
        <v>13:48</v>
      </c>
      <c r="H71" s="20">
        <f t="shared" ca="1" si="6"/>
        <v>0.1437500000000001</v>
      </c>
      <c r="I71" s="22" t="str">
        <f t="shared" ca="1" si="7"/>
        <v>Cartão</v>
      </c>
      <c r="J71" s="17">
        <f t="shared" ca="1" si="8"/>
        <v>69.000000000000043</v>
      </c>
      <c r="K71" s="22" t="str">
        <f t="shared" ca="1" si="9"/>
        <v>A4</v>
      </c>
      <c r="L71" s="22" t="s">
        <v>20</v>
      </c>
    </row>
    <row r="72" spans="2:12" x14ac:dyDescent="0.3">
      <c r="B72" s="22">
        <f t="shared" si="0"/>
        <v>65</v>
      </c>
      <c r="C72" s="11">
        <f t="shared" ca="1" si="1"/>
        <v>44362</v>
      </c>
      <c r="D72" s="22" t="str">
        <f t="shared" ca="1" si="2"/>
        <v>CARRO MÉDIO</v>
      </c>
      <c r="E72" s="22" t="str">
        <f t="shared" ca="1" si="3"/>
        <v>FHLI-7952</v>
      </c>
      <c r="F72" s="20" t="str">
        <f t="shared" ca="1" si="4"/>
        <v>09:06</v>
      </c>
      <c r="G72" s="20" t="str">
        <f t="shared" ca="1" si="5"/>
        <v>12:19</v>
      </c>
      <c r="H72" s="20">
        <f t="shared" ca="1" si="6"/>
        <v>0.13402777777777775</v>
      </c>
      <c r="I72" s="22" t="str">
        <f t="shared" ca="1" si="7"/>
        <v>Dinheiro</v>
      </c>
      <c r="J72" s="17">
        <f t="shared" ca="1" si="8"/>
        <v>48.249999999999986</v>
      </c>
      <c r="K72" s="22" t="str">
        <f t="shared" ca="1" si="9"/>
        <v>A5</v>
      </c>
      <c r="L72" s="22" t="s">
        <v>20</v>
      </c>
    </row>
    <row r="73" spans="2:12" x14ac:dyDescent="0.3">
      <c r="B73" s="22">
        <f t="shared" ref="B73:B136" si="10">ROW(A66)</f>
        <v>66</v>
      </c>
      <c r="C73" s="11">
        <f t="shared" ref="C73:C136" ca="1" si="11">DATE(2021,RANDBETWEEN(6,9),RANDBETWEEN(1,31))</f>
        <v>44414</v>
      </c>
      <c r="D73" s="22" t="str">
        <f t="shared" ref="D73:D136" ca="1" si="12">CHOOSE(RANDBETWEEN(1,4),$D$2,$D$3,$D$4,$D$5)</f>
        <v>CARRO GRANDE</v>
      </c>
      <c r="E73" s="22" t="str">
        <f t="shared" ref="E73:E136" ca="1" si="13">CHAR(RANDBETWEEN(65,90))&amp;CHAR(RANDBETWEEN(65,90))&amp;CHAR(RANDBETWEEN(65,90))&amp;CHAR(RANDBETWEEN(65,90))&amp;"-"&amp;RANDBETWEEN(1111,9999)</f>
        <v>JYEY-2658</v>
      </c>
      <c r="F73" s="20" t="str">
        <f t="shared" ref="F73:F136" ca="1" si="14">TEXT(RANDBETWEEN(7,11)&amp;":"&amp;RANDBETWEEN(1,59),"HH:MM")</f>
        <v>08:16</v>
      </c>
      <c r="G73" s="20" t="str">
        <f t="shared" ref="G73:G136" ca="1" si="15">TEXT(RANDBETWEEN(12,15)&amp;":"&amp;RANDBETWEEN(1,59),"HH:MM")</f>
        <v>13:12</v>
      </c>
      <c r="H73" s="20">
        <f t="shared" ref="H73:H136" ca="1" si="16">G73-F73</f>
        <v>0.20555555555555544</v>
      </c>
      <c r="I73" s="22" t="str">
        <f t="shared" ref="I73:I136" ca="1" si="17">CHOOSE(RANDBETWEEN(1,2),"Cartão","Dinheiro")</f>
        <v>Cartão</v>
      </c>
      <c r="J73" s="17">
        <f t="shared" ref="J73:J136" ca="1" si="18">H73*24*IF(D73=$D$2,$E$2,IF(D73=$D$3,$E$3,IF(D73=$D$4,$E$4,IF(D73=$D$5,$E$5))))</f>
        <v>98.6666666666666</v>
      </c>
      <c r="K73" s="22" t="str">
        <f t="shared" ref="K73:K136" ca="1" si="19">CHOOSE(RANDBETWEEN(1,15),"A1","A2","A3","A4","A5","B1","B2","B3","B4","B5","C1","C2","C3","C4","C5")</f>
        <v>B1</v>
      </c>
      <c r="L73" s="22" t="s">
        <v>20</v>
      </c>
    </row>
    <row r="74" spans="2:12" x14ac:dyDescent="0.3">
      <c r="B74" s="22">
        <f t="shared" si="10"/>
        <v>67</v>
      </c>
      <c r="C74" s="11">
        <f t="shared" ca="1" si="11"/>
        <v>44447</v>
      </c>
      <c r="D74" s="22" t="str">
        <f t="shared" ca="1" si="12"/>
        <v>CARRO PEQUENO</v>
      </c>
      <c r="E74" s="22" t="str">
        <f t="shared" ca="1" si="13"/>
        <v>XGUK-1691</v>
      </c>
      <c r="F74" s="20" t="str">
        <f t="shared" ca="1" si="14"/>
        <v>09:12</v>
      </c>
      <c r="G74" s="20" t="str">
        <f t="shared" ca="1" si="15"/>
        <v>14:01</v>
      </c>
      <c r="H74" s="20">
        <f t="shared" ca="1" si="16"/>
        <v>0.20069444444444451</v>
      </c>
      <c r="I74" s="22" t="str">
        <f t="shared" ca="1" si="17"/>
        <v>Cartão</v>
      </c>
      <c r="J74" s="17">
        <f t="shared" ca="1" si="18"/>
        <v>57.800000000000018</v>
      </c>
      <c r="K74" s="22" t="str">
        <f t="shared" ca="1" si="19"/>
        <v>B4</v>
      </c>
      <c r="L74" s="22" t="s">
        <v>20</v>
      </c>
    </row>
    <row r="75" spans="2:12" x14ac:dyDescent="0.3">
      <c r="B75" s="22">
        <f t="shared" si="10"/>
        <v>68</v>
      </c>
      <c r="C75" s="11">
        <f t="shared" ca="1" si="11"/>
        <v>44389</v>
      </c>
      <c r="D75" s="22" t="str">
        <f t="shared" ca="1" si="12"/>
        <v>CARRO GRANDE</v>
      </c>
      <c r="E75" s="22" t="str">
        <f t="shared" ca="1" si="13"/>
        <v>XZRB-2986</v>
      </c>
      <c r="F75" s="20" t="str">
        <f t="shared" ca="1" si="14"/>
        <v>10:54</v>
      </c>
      <c r="G75" s="20" t="str">
        <f t="shared" ca="1" si="15"/>
        <v>12:52</v>
      </c>
      <c r="H75" s="20">
        <f t="shared" ca="1" si="16"/>
        <v>8.1944444444444431E-2</v>
      </c>
      <c r="I75" s="22" t="str">
        <f t="shared" ca="1" si="17"/>
        <v>Dinheiro</v>
      </c>
      <c r="J75" s="17">
        <f t="shared" ca="1" si="18"/>
        <v>39.333333333333329</v>
      </c>
      <c r="K75" s="22" t="str">
        <f t="shared" ca="1" si="19"/>
        <v>B2</v>
      </c>
      <c r="L75" s="22" t="s">
        <v>20</v>
      </c>
    </row>
    <row r="76" spans="2:12" x14ac:dyDescent="0.3">
      <c r="B76" s="22">
        <f t="shared" si="10"/>
        <v>69</v>
      </c>
      <c r="C76" s="11">
        <f t="shared" ca="1" si="11"/>
        <v>44394</v>
      </c>
      <c r="D76" s="22" t="str">
        <f t="shared" ca="1" si="12"/>
        <v>MOTO</v>
      </c>
      <c r="E76" s="22" t="str">
        <f t="shared" ca="1" si="13"/>
        <v>YGKB-5950</v>
      </c>
      <c r="F76" s="20" t="str">
        <f t="shared" ca="1" si="14"/>
        <v>08:46</v>
      </c>
      <c r="G76" s="20" t="str">
        <f t="shared" ca="1" si="15"/>
        <v>14:12</v>
      </c>
      <c r="H76" s="20">
        <f t="shared" ca="1" si="16"/>
        <v>0.22638888888888886</v>
      </c>
      <c r="I76" s="22" t="str">
        <f t="shared" ca="1" si="17"/>
        <v>Cartão</v>
      </c>
      <c r="J76" s="17">
        <f t="shared" ca="1" si="18"/>
        <v>48.899999999999991</v>
      </c>
      <c r="K76" s="22" t="str">
        <f t="shared" ca="1" si="19"/>
        <v>B1</v>
      </c>
      <c r="L76" s="22" t="s">
        <v>20</v>
      </c>
    </row>
    <row r="77" spans="2:12" x14ac:dyDescent="0.3">
      <c r="B77" s="22">
        <f t="shared" si="10"/>
        <v>70</v>
      </c>
      <c r="C77" s="11">
        <f t="shared" ca="1" si="11"/>
        <v>44393</v>
      </c>
      <c r="D77" s="22" t="str">
        <f t="shared" ca="1" si="12"/>
        <v>CARRO GRANDE</v>
      </c>
      <c r="E77" s="22" t="str">
        <f t="shared" ca="1" si="13"/>
        <v>SXMP-6626</v>
      </c>
      <c r="F77" s="20" t="str">
        <f t="shared" ca="1" si="14"/>
        <v>10:20</v>
      </c>
      <c r="G77" s="20" t="str">
        <f t="shared" ca="1" si="15"/>
        <v>13:49</v>
      </c>
      <c r="H77" s="20">
        <f t="shared" ca="1" si="16"/>
        <v>0.14513888888888882</v>
      </c>
      <c r="I77" s="22" t="str">
        <f t="shared" ca="1" si="17"/>
        <v>Dinheiro</v>
      </c>
      <c r="J77" s="17">
        <f t="shared" ca="1" si="18"/>
        <v>69.666666666666629</v>
      </c>
      <c r="K77" s="22" t="str">
        <f t="shared" ca="1" si="19"/>
        <v>A1</v>
      </c>
      <c r="L77" s="22" t="s">
        <v>20</v>
      </c>
    </row>
    <row r="78" spans="2:12" x14ac:dyDescent="0.3">
      <c r="B78" s="22">
        <f t="shared" si="10"/>
        <v>71</v>
      </c>
      <c r="C78" s="11">
        <f t="shared" ca="1" si="11"/>
        <v>44375</v>
      </c>
      <c r="D78" s="22" t="str">
        <f t="shared" ca="1" si="12"/>
        <v>CARRO PEQUENO</v>
      </c>
      <c r="E78" s="22" t="str">
        <f t="shared" ca="1" si="13"/>
        <v>YSAR-7012</v>
      </c>
      <c r="F78" s="20" t="str">
        <f t="shared" ca="1" si="14"/>
        <v>09:43</v>
      </c>
      <c r="G78" s="20" t="str">
        <f t="shared" ca="1" si="15"/>
        <v>12:14</v>
      </c>
      <c r="H78" s="20">
        <f t="shared" ca="1" si="16"/>
        <v>0.10486111111111107</v>
      </c>
      <c r="I78" s="22" t="str">
        <f t="shared" ca="1" si="17"/>
        <v>Cartão</v>
      </c>
      <c r="J78" s="17">
        <f t="shared" ca="1" si="18"/>
        <v>30.199999999999989</v>
      </c>
      <c r="K78" s="22" t="str">
        <f t="shared" ca="1" si="19"/>
        <v>A4</v>
      </c>
      <c r="L78" s="22" t="s">
        <v>20</v>
      </c>
    </row>
    <row r="79" spans="2:12" x14ac:dyDescent="0.3">
      <c r="B79" s="22">
        <f t="shared" si="10"/>
        <v>72</v>
      </c>
      <c r="C79" s="11">
        <f t="shared" ca="1" si="11"/>
        <v>44413</v>
      </c>
      <c r="D79" s="22" t="str">
        <f t="shared" ca="1" si="12"/>
        <v>CARRO PEQUENO</v>
      </c>
      <c r="E79" s="22" t="str">
        <f t="shared" ca="1" si="13"/>
        <v>MDWF-1819</v>
      </c>
      <c r="F79" s="20" t="str">
        <f t="shared" ca="1" si="14"/>
        <v>08:01</v>
      </c>
      <c r="G79" s="20" t="str">
        <f t="shared" ca="1" si="15"/>
        <v>14:32</v>
      </c>
      <c r="H79" s="20">
        <f t="shared" ca="1" si="16"/>
        <v>0.2715277777777777</v>
      </c>
      <c r="I79" s="22" t="str">
        <f t="shared" ca="1" si="17"/>
        <v>Cartão</v>
      </c>
      <c r="J79" s="17">
        <f t="shared" ca="1" si="18"/>
        <v>78.199999999999974</v>
      </c>
      <c r="K79" s="22" t="str">
        <f t="shared" ca="1" si="19"/>
        <v>B1</v>
      </c>
      <c r="L79" s="22" t="s">
        <v>20</v>
      </c>
    </row>
    <row r="80" spans="2:12" x14ac:dyDescent="0.3">
      <c r="B80" s="22">
        <f t="shared" si="10"/>
        <v>73</v>
      </c>
      <c r="C80" s="11">
        <f t="shared" ca="1" si="11"/>
        <v>44401</v>
      </c>
      <c r="D80" s="22" t="str">
        <f t="shared" ca="1" si="12"/>
        <v>CARRO GRANDE</v>
      </c>
      <c r="E80" s="22" t="str">
        <f t="shared" ca="1" si="13"/>
        <v>OFJP-8007</v>
      </c>
      <c r="F80" s="20" t="str">
        <f t="shared" ca="1" si="14"/>
        <v>10:08</v>
      </c>
      <c r="G80" s="20" t="str">
        <f t="shared" ca="1" si="15"/>
        <v>12:51</v>
      </c>
      <c r="H80" s="20">
        <f t="shared" ca="1" si="16"/>
        <v>0.11319444444444443</v>
      </c>
      <c r="I80" s="22" t="str">
        <f t="shared" ca="1" si="17"/>
        <v>Dinheiro</v>
      </c>
      <c r="J80" s="17">
        <f t="shared" ca="1" si="18"/>
        <v>54.333333333333329</v>
      </c>
      <c r="K80" s="22" t="str">
        <f t="shared" ca="1" si="19"/>
        <v>A1</v>
      </c>
      <c r="L80" s="22" t="s">
        <v>20</v>
      </c>
    </row>
    <row r="81" spans="2:12" x14ac:dyDescent="0.3">
      <c r="B81" s="22">
        <f t="shared" si="10"/>
        <v>74</v>
      </c>
      <c r="C81" s="11">
        <f t="shared" ca="1" si="11"/>
        <v>44432</v>
      </c>
      <c r="D81" s="22" t="str">
        <f t="shared" ca="1" si="12"/>
        <v>CARRO MÉDIO</v>
      </c>
      <c r="E81" s="22" t="str">
        <f t="shared" ca="1" si="13"/>
        <v>TKVS-4729</v>
      </c>
      <c r="F81" s="20" t="str">
        <f t="shared" ca="1" si="14"/>
        <v>11:40</v>
      </c>
      <c r="G81" s="20" t="str">
        <f t="shared" ca="1" si="15"/>
        <v>13:20</v>
      </c>
      <c r="H81" s="20">
        <f t="shared" ca="1" si="16"/>
        <v>6.9444444444444475E-2</v>
      </c>
      <c r="I81" s="22" t="str">
        <f t="shared" ca="1" si="17"/>
        <v>Cartão</v>
      </c>
      <c r="J81" s="17">
        <f t="shared" ca="1" si="18"/>
        <v>25.000000000000011</v>
      </c>
      <c r="K81" s="22" t="str">
        <f t="shared" ca="1" si="19"/>
        <v>A2</v>
      </c>
      <c r="L81" s="22" t="s">
        <v>20</v>
      </c>
    </row>
    <row r="82" spans="2:12" x14ac:dyDescent="0.3">
      <c r="B82" s="22">
        <f t="shared" si="10"/>
        <v>75</v>
      </c>
      <c r="C82" s="11">
        <f t="shared" ca="1" si="11"/>
        <v>44363</v>
      </c>
      <c r="D82" s="22" t="str">
        <f t="shared" ca="1" si="12"/>
        <v>CARRO GRANDE</v>
      </c>
      <c r="E82" s="22" t="str">
        <f t="shared" ca="1" si="13"/>
        <v>XOXK-4551</v>
      </c>
      <c r="F82" s="20" t="str">
        <f t="shared" ca="1" si="14"/>
        <v>10:38</v>
      </c>
      <c r="G82" s="20" t="str">
        <f t="shared" ca="1" si="15"/>
        <v>14:13</v>
      </c>
      <c r="H82" s="20">
        <f t="shared" ca="1" si="16"/>
        <v>0.14930555555555558</v>
      </c>
      <c r="I82" s="22" t="str">
        <f t="shared" ca="1" si="17"/>
        <v>Dinheiro</v>
      </c>
      <c r="J82" s="17">
        <f t="shared" ca="1" si="18"/>
        <v>71.666666666666686</v>
      </c>
      <c r="K82" s="22" t="str">
        <f t="shared" ca="1" si="19"/>
        <v>A4</v>
      </c>
      <c r="L82" s="22" t="s">
        <v>20</v>
      </c>
    </row>
    <row r="83" spans="2:12" x14ac:dyDescent="0.3">
      <c r="B83" s="22">
        <f t="shared" si="10"/>
        <v>76</v>
      </c>
      <c r="C83" s="11">
        <f t="shared" ca="1" si="11"/>
        <v>44353</v>
      </c>
      <c r="D83" s="22" t="str">
        <f t="shared" ca="1" si="12"/>
        <v>CARRO PEQUENO</v>
      </c>
      <c r="E83" s="22" t="str">
        <f t="shared" ca="1" si="13"/>
        <v>IGJR-7261</v>
      </c>
      <c r="F83" s="20" t="str">
        <f t="shared" ca="1" si="14"/>
        <v>10:07</v>
      </c>
      <c r="G83" s="20" t="str">
        <f t="shared" ca="1" si="15"/>
        <v>13:09</v>
      </c>
      <c r="H83" s="20">
        <f t="shared" ca="1" si="16"/>
        <v>0.12638888888888894</v>
      </c>
      <c r="I83" s="22" t="str">
        <f t="shared" ca="1" si="17"/>
        <v>Cartão</v>
      </c>
      <c r="J83" s="17">
        <f t="shared" ca="1" si="18"/>
        <v>36.400000000000013</v>
      </c>
      <c r="K83" s="22" t="str">
        <f t="shared" ca="1" si="19"/>
        <v>A4</v>
      </c>
      <c r="L83" s="22" t="s">
        <v>20</v>
      </c>
    </row>
    <row r="84" spans="2:12" x14ac:dyDescent="0.3">
      <c r="B84" s="22">
        <f t="shared" si="10"/>
        <v>77</v>
      </c>
      <c r="C84" s="11">
        <f t="shared" ca="1" si="11"/>
        <v>44409</v>
      </c>
      <c r="D84" s="22" t="str">
        <f t="shared" ca="1" si="12"/>
        <v>CARRO GRANDE</v>
      </c>
      <c r="E84" s="22" t="str">
        <f t="shared" ca="1" si="13"/>
        <v>YRQP-6436</v>
      </c>
      <c r="F84" s="20" t="str">
        <f t="shared" ca="1" si="14"/>
        <v>07:59</v>
      </c>
      <c r="G84" s="20" t="str">
        <f t="shared" ca="1" si="15"/>
        <v>13:05</v>
      </c>
      <c r="H84" s="20">
        <f t="shared" ca="1" si="16"/>
        <v>0.21250000000000008</v>
      </c>
      <c r="I84" s="22" t="str">
        <f t="shared" ca="1" si="17"/>
        <v>Cartão</v>
      </c>
      <c r="J84" s="17">
        <f t="shared" ca="1" si="18"/>
        <v>102.00000000000003</v>
      </c>
      <c r="K84" s="22" t="str">
        <f t="shared" ca="1" si="19"/>
        <v>C3</v>
      </c>
      <c r="L84" s="22" t="s">
        <v>20</v>
      </c>
    </row>
    <row r="85" spans="2:12" x14ac:dyDescent="0.3">
      <c r="B85" s="22">
        <f t="shared" si="10"/>
        <v>78</v>
      </c>
      <c r="C85" s="11">
        <f t="shared" ca="1" si="11"/>
        <v>44378</v>
      </c>
      <c r="D85" s="22" t="str">
        <f t="shared" ca="1" si="12"/>
        <v>CARRO GRANDE</v>
      </c>
      <c r="E85" s="22" t="str">
        <f t="shared" ca="1" si="13"/>
        <v>IAOL-3934</v>
      </c>
      <c r="F85" s="20" t="str">
        <f t="shared" ca="1" si="14"/>
        <v>08:56</v>
      </c>
      <c r="G85" s="20" t="str">
        <f t="shared" ca="1" si="15"/>
        <v>15:13</v>
      </c>
      <c r="H85" s="20">
        <f t="shared" ca="1" si="16"/>
        <v>0.26180555555555551</v>
      </c>
      <c r="I85" s="22" t="str">
        <f t="shared" ca="1" si="17"/>
        <v>Cartão</v>
      </c>
      <c r="J85" s="17">
        <f t="shared" ca="1" si="18"/>
        <v>125.66666666666664</v>
      </c>
      <c r="K85" s="22" t="str">
        <f t="shared" ca="1" si="19"/>
        <v>C1</v>
      </c>
      <c r="L85" s="22" t="s">
        <v>20</v>
      </c>
    </row>
    <row r="86" spans="2:12" x14ac:dyDescent="0.3">
      <c r="B86" s="22">
        <f t="shared" si="10"/>
        <v>79</v>
      </c>
      <c r="C86" s="11">
        <f t="shared" ca="1" si="11"/>
        <v>44397</v>
      </c>
      <c r="D86" s="22" t="str">
        <f t="shared" ca="1" si="12"/>
        <v>CARRO GRANDE</v>
      </c>
      <c r="E86" s="22" t="str">
        <f t="shared" ca="1" si="13"/>
        <v>SOFY-6477</v>
      </c>
      <c r="F86" s="20" t="str">
        <f t="shared" ca="1" si="14"/>
        <v>10:49</v>
      </c>
      <c r="G86" s="20" t="str">
        <f t="shared" ca="1" si="15"/>
        <v>14:13</v>
      </c>
      <c r="H86" s="20">
        <f t="shared" ca="1" si="16"/>
        <v>0.14166666666666666</v>
      </c>
      <c r="I86" s="22" t="str">
        <f t="shared" ca="1" si="17"/>
        <v>Dinheiro</v>
      </c>
      <c r="J86" s="17">
        <f t="shared" ca="1" si="18"/>
        <v>68</v>
      </c>
      <c r="K86" s="22" t="str">
        <f t="shared" ca="1" si="19"/>
        <v>C5</v>
      </c>
      <c r="L86" s="22" t="s">
        <v>20</v>
      </c>
    </row>
    <row r="87" spans="2:12" x14ac:dyDescent="0.3">
      <c r="B87" s="22">
        <f t="shared" si="10"/>
        <v>80</v>
      </c>
      <c r="C87" s="11">
        <f t="shared" ca="1" si="11"/>
        <v>44349</v>
      </c>
      <c r="D87" s="22" t="str">
        <f t="shared" ca="1" si="12"/>
        <v>CARRO MÉDIO</v>
      </c>
      <c r="E87" s="22" t="str">
        <f t="shared" ca="1" si="13"/>
        <v>VFBZ-5149</v>
      </c>
      <c r="F87" s="20" t="str">
        <f t="shared" ca="1" si="14"/>
        <v>08:23</v>
      </c>
      <c r="G87" s="20" t="str">
        <f t="shared" ca="1" si="15"/>
        <v>14:04</v>
      </c>
      <c r="H87" s="20">
        <f t="shared" ca="1" si="16"/>
        <v>0.2368055555555556</v>
      </c>
      <c r="I87" s="22" t="str">
        <f t="shared" ca="1" si="17"/>
        <v>Cartão</v>
      </c>
      <c r="J87" s="17">
        <f t="shared" ca="1" si="18"/>
        <v>85.250000000000014</v>
      </c>
      <c r="K87" s="22" t="str">
        <f t="shared" ca="1" si="19"/>
        <v>C3</v>
      </c>
      <c r="L87" s="22" t="s">
        <v>20</v>
      </c>
    </row>
    <row r="88" spans="2:12" x14ac:dyDescent="0.3">
      <c r="B88" s="22">
        <f t="shared" si="10"/>
        <v>81</v>
      </c>
      <c r="C88" s="11">
        <f t="shared" ca="1" si="11"/>
        <v>44368</v>
      </c>
      <c r="D88" s="22" t="str">
        <f t="shared" ca="1" si="12"/>
        <v>CARRO PEQUENO</v>
      </c>
      <c r="E88" s="22" t="str">
        <f t="shared" ca="1" si="13"/>
        <v>UMRJ-6655</v>
      </c>
      <c r="F88" s="20" t="str">
        <f t="shared" ca="1" si="14"/>
        <v>10:18</v>
      </c>
      <c r="G88" s="20" t="str">
        <f t="shared" ca="1" si="15"/>
        <v>14:16</v>
      </c>
      <c r="H88" s="20">
        <f t="shared" ca="1" si="16"/>
        <v>0.16527777777777775</v>
      </c>
      <c r="I88" s="22" t="str">
        <f t="shared" ca="1" si="17"/>
        <v>Dinheiro</v>
      </c>
      <c r="J88" s="17">
        <f t="shared" ca="1" si="18"/>
        <v>47.599999999999994</v>
      </c>
      <c r="K88" s="22" t="str">
        <f t="shared" ca="1" si="19"/>
        <v>C3</v>
      </c>
      <c r="L88" s="22" t="s">
        <v>20</v>
      </c>
    </row>
    <row r="89" spans="2:12" x14ac:dyDescent="0.3">
      <c r="B89" s="22">
        <f t="shared" si="10"/>
        <v>82</v>
      </c>
      <c r="C89" s="11">
        <f t="shared" ca="1" si="11"/>
        <v>44428</v>
      </c>
      <c r="D89" s="22" t="str">
        <f t="shared" ca="1" si="12"/>
        <v>CARRO MÉDIO</v>
      </c>
      <c r="E89" s="22" t="str">
        <f t="shared" ca="1" si="13"/>
        <v>OHJF-9713</v>
      </c>
      <c r="F89" s="20" t="str">
        <f t="shared" ca="1" si="14"/>
        <v>09:15</v>
      </c>
      <c r="G89" s="20" t="str">
        <f t="shared" ca="1" si="15"/>
        <v>12:30</v>
      </c>
      <c r="H89" s="20">
        <f t="shared" ca="1" si="16"/>
        <v>0.13541666666666669</v>
      </c>
      <c r="I89" s="22" t="str">
        <f t="shared" ca="1" si="17"/>
        <v>Dinheiro</v>
      </c>
      <c r="J89" s="17">
        <f t="shared" ca="1" si="18"/>
        <v>48.750000000000007</v>
      </c>
      <c r="K89" s="22" t="str">
        <f t="shared" ca="1" si="19"/>
        <v>A5</v>
      </c>
      <c r="L89" s="22" t="s">
        <v>20</v>
      </c>
    </row>
    <row r="90" spans="2:12" x14ac:dyDescent="0.3">
      <c r="B90" s="22">
        <f t="shared" si="10"/>
        <v>83</v>
      </c>
      <c r="C90" s="11">
        <f t="shared" ca="1" si="11"/>
        <v>44350</v>
      </c>
      <c r="D90" s="22" t="str">
        <f t="shared" ca="1" si="12"/>
        <v>CARRO GRANDE</v>
      </c>
      <c r="E90" s="22" t="str">
        <f t="shared" ca="1" si="13"/>
        <v>DRBE-2168</v>
      </c>
      <c r="F90" s="20" t="str">
        <f t="shared" ca="1" si="14"/>
        <v>10:53</v>
      </c>
      <c r="G90" s="20" t="str">
        <f t="shared" ca="1" si="15"/>
        <v>12:24</v>
      </c>
      <c r="H90" s="20">
        <f t="shared" ca="1" si="16"/>
        <v>6.3194444444444497E-2</v>
      </c>
      <c r="I90" s="22" t="str">
        <f t="shared" ca="1" si="17"/>
        <v>Cartão</v>
      </c>
      <c r="J90" s="17">
        <f t="shared" ca="1" si="18"/>
        <v>30.333333333333357</v>
      </c>
      <c r="K90" s="22" t="str">
        <f t="shared" ca="1" si="19"/>
        <v>A4</v>
      </c>
      <c r="L90" s="22" t="s">
        <v>20</v>
      </c>
    </row>
    <row r="91" spans="2:12" x14ac:dyDescent="0.3">
      <c r="B91" s="22">
        <f t="shared" si="10"/>
        <v>84</v>
      </c>
      <c r="C91" s="11">
        <f t="shared" ca="1" si="11"/>
        <v>44374</v>
      </c>
      <c r="D91" s="22" t="str">
        <f t="shared" ca="1" si="12"/>
        <v>CARRO GRANDE</v>
      </c>
      <c r="E91" s="22" t="str">
        <f t="shared" ca="1" si="13"/>
        <v>XLFD-9358</v>
      </c>
      <c r="F91" s="20" t="str">
        <f t="shared" ca="1" si="14"/>
        <v>07:36</v>
      </c>
      <c r="G91" s="20" t="str">
        <f t="shared" ca="1" si="15"/>
        <v>12:26</v>
      </c>
      <c r="H91" s="20">
        <f t="shared" ca="1" si="16"/>
        <v>0.20138888888888895</v>
      </c>
      <c r="I91" s="22" t="str">
        <f t="shared" ca="1" si="17"/>
        <v>Cartão</v>
      </c>
      <c r="J91" s="17">
        <f t="shared" ca="1" si="18"/>
        <v>96.6666666666667</v>
      </c>
      <c r="K91" s="22" t="str">
        <f t="shared" ca="1" si="19"/>
        <v>A1</v>
      </c>
      <c r="L91" s="22" t="s">
        <v>20</v>
      </c>
    </row>
    <row r="92" spans="2:12" x14ac:dyDescent="0.3">
      <c r="B92" s="22">
        <f t="shared" si="10"/>
        <v>85</v>
      </c>
      <c r="C92" s="11">
        <f t="shared" ca="1" si="11"/>
        <v>44390</v>
      </c>
      <c r="D92" s="22" t="str">
        <f t="shared" ca="1" si="12"/>
        <v>CARRO GRANDE</v>
      </c>
      <c r="E92" s="22" t="str">
        <f t="shared" ca="1" si="13"/>
        <v>LXZV-3839</v>
      </c>
      <c r="F92" s="20" t="str">
        <f t="shared" ca="1" si="14"/>
        <v>10:17</v>
      </c>
      <c r="G92" s="20" t="str">
        <f t="shared" ca="1" si="15"/>
        <v>13:52</v>
      </c>
      <c r="H92" s="20">
        <f t="shared" ca="1" si="16"/>
        <v>0.14930555555555564</v>
      </c>
      <c r="I92" s="22" t="str">
        <f t="shared" ca="1" si="17"/>
        <v>Cartão</v>
      </c>
      <c r="J92" s="17">
        <f t="shared" ca="1" si="18"/>
        <v>71.6666666666667</v>
      </c>
      <c r="K92" s="22" t="str">
        <f t="shared" ca="1" si="19"/>
        <v>A1</v>
      </c>
      <c r="L92" s="22" t="s">
        <v>20</v>
      </c>
    </row>
    <row r="93" spans="2:12" x14ac:dyDescent="0.3">
      <c r="B93" s="22">
        <f t="shared" si="10"/>
        <v>86</v>
      </c>
      <c r="C93" s="11">
        <f t="shared" ca="1" si="11"/>
        <v>44348</v>
      </c>
      <c r="D93" s="22" t="str">
        <f t="shared" ca="1" si="12"/>
        <v>CARRO PEQUENO</v>
      </c>
      <c r="E93" s="22" t="str">
        <f t="shared" ca="1" si="13"/>
        <v>ZIIP-7425</v>
      </c>
      <c r="F93" s="20" t="str">
        <f t="shared" ca="1" si="14"/>
        <v>07:51</v>
      </c>
      <c r="G93" s="20" t="str">
        <f t="shared" ca="1" si="15"/>
        <v>13:14</v>
      </c>
      <c r="H93" s="20">
        <f t="shared" ca="1" si="16"/>
        <v>0.22430555555555548</v>
      </c>
      <c r="I93" s="22" t="str">
        <f t="shared" ca="1" si="17"/>
        <v>Cartão</v>
      </c>
      <c r="J93" s="17">
        <f t="shared" ca="1" si="18"/>
        <v>64.599999999999966</v>
      </c>
      <c r="K93" s="22" t="str">
        <f t="shared" ca="1" si="19"/>
        <v>B4</v>
      </c>
      <c r="L93" s="22" t="s">
        <v>20</v>
      </c>
    </row>
    <row r="94" spans="2:12" x14ac:dyDescent="0.3">
      <c r="B94" s="22">
        <f t="shared" si="10"/>
        <v>87</v>
      </c>
      <c r="C94" s="11">
        <f t="shared" ca="1" si="11"/>
        <v>44373</v>
      </c>
      <c r="D94" s="22" t="str">
        <f t="shared" ca="1" si="12"/>
        <v>CARRO MÉDIO</v>
      </c>
      <c r="E94" s="22" t="str">
        <f t="shared" ca="1" si="13"/>
        <v>JKCD-1411</v>
      </c>
      <c r="F94" s="20" t="str">
        <f t="shared" ca="1" si="14"/>
        <v>09:05</v>
      </c>
      <c r="G94" s="20" t="str">
        <f t="shared" ca="1" si="15"/>
        <v>13:51</v>
      </c>
      <c r="H94" s="20">
        <f t="shared" ca="1" si="16"/>
        <v>0.19861111111111102</v>
      </c>
      <c r="I94" s="22" t="str">
        <f t="shared" ca="1" si="17"/>
        <v>Dinheiro</v>
      </c>
      <c r="J94" s="17">
        <f t="shared" ca="1" si="18"/>
        <v>71.499999999999957</v>
      </c>
      <c r="K94" s="22" t="str">
        <f t="shared" ca="1" si="19"/>
        <v>B2</v>
      </c>
      <c r="L94" s="22" t="s">
        <v>20</v>
      </c>
    </row>
    <row r="95" spans="2:12" x14ac:dyDescent="0.3">
      <c r="B95" s="22">
        <f t="shared" si="10"/>
        <v>88</v>
      </c>
      <c r="C95" s="11">
        <f t="shared" ca="1" si="11"/>
        <v>44391</v>
      </c>
      <c r="D95" s="22" t="str">
        <f t="shared" ca="1" si="12"/>
        <v>MOTO</v>
      </c>
      <c r="E95" s="22" t="str">
        <f t="shared" ca="1" si="13"/>
        <v>QAHN-3073</v>
      </c>
      <c r="F95" s="20" t="str">
        <f t="shared" ca="1" si="14"/>
        <v>07:20</v>
      </c>
      <c r="G95" s="20" t="str">
        <f t="shared" ca="1" si="15"/>
        <v>13:39</v>
      </c>
      <c r="H95" s="20">
        <f t="shared" ca="1" si="16"/>
        <v>0.26319444444444445</v>
      </c>
      <c r="I95" s="22" t="str">
        <f t="shared" ca="1" si="17"/>
        <v>Cartão</v>
      </c>
      <c r="J95" s="17">
        <f t="shared" ca="1" si="18"/>
        <v>56.849999999999994</v>
      </c>
      <c r="K95" s="22" t="str">
        <f t="shared" ca="1" si="19"/>
        <v>A2</v>
      </c>
      <c r="L95" s="22" t="s">
        <v>20</v>
      </c>
    </row>
    <row r="96" spans="2:12" x14ac:dyDescent="0.3">
      <c r="B96" s="22">
        <f t="shared" si="10"/>
        <v>89</v>
      </c>
      <c r="C96" s="11">
        <f t="shared" ca="1" si="11"/>
        <v>44402</v>
      </c>
      <c r="D96" s="22" t="str">
        <f t="shared" ca="1" si="12"/>
        <v>CARRO GRANDE</v>
      </c>
      <c r="E96" s="22" t="str">
        <f t="shared" ca="1" si="13"/>
        <v>HIET-9099</v>
      </c>
      <c r="F96" s="20" t="str">
        <f t="shared" ca="1" si="14"/>
        <v>11:42</v>
      </c>
      <c r="G96" s="20" t="str">
        <f t="shared" ca="1" si="15"/>
        <v>12:17</v>
      </c>
      <c r="H96" s="20">
        <f t="shared" ca="1" si="16"/>
        <v>2.4305555555555525E-2</v>
      </c>
      <c r="I96" s="22" t="str">
        <f t="shared" ca="1" si="17"/>
        <v>Dinheiro</v>
      </c>
      <c r="J96" s="17">
        <f t="shared" ca="1" si="18"/>
        <v>11.666666666666652</v>
      </c>
      <c r="K96" s="22" t="str">
        <f t="shared" ca="1" si="19"/>
        <v>B1</v>
      </c>
      <c r="L96" s="22" t="s">
        <v>20</v>
      </c>
    </row>
    <row r="97" spans="2:12" x14ac:dyDescent="0.3">
      <c r="B97" s="22">
        <f t="shared" si="10"/>
        <v>90</v>
      </c>
      <c r="C97" s="11">
        <f t="shared" ca="1" si="11"/>
        <v>44371</v>
      </c>
      <c r="D97" s="22" t="str">
        <f t="shared" ca="1" si="12"/>
        <v>CARRO MÉDIO</v>
      </c>
      <c r="E97" s="22" t="str">
        <f t="shared" ca="1" si="13"/>
        <v>CUMZ-5439</v>
      </c>
      <c r="F97" s="20" t="str">
        <f t="shared" ca="1" si="14"/>
        <v>11:57</v>
      </c>
      <c r="G97" s="20" t="str">
        <f t="shared" ca="1" si="15"/>
        <v>12:15</v>
      </c>
      <c r="H97" s="20">
        <f t="shared" ca="1" si="16"/>
        <v>1.2500000000000011E-2</v>
      </c>
      <c r="I97" s="22" t="str">
        <f t="shared" ca="1" si="17"/>
        <v>Cartão</v>
      </c>
      <c r="J97" s="17">
        <f t="shared" ca="1" si="18"/>
        <v>4.5000000000000036</v>
      </c>
      <c r="K97" s="22" t="str">
        <f t="shared" ca="1" si="19"/>
        <v>A2</v>
      </c>
      <c r="L97" s="22" t="s">
        <v>20</v>
      </c>
    </row>
    <row r="98" spans="2:12" x14ac:dyDescent="0.3">
      <c r="B98" s="22">
        <f t="shared" si="10"/>
        <v>91</v>
      </c>
      <c r="C98" s="11">
        <f t="shared" ca="1" si="11"/>
        <v>44418</v>
      </c>
      <c r="D98" s="22" t="str">
        <f t="shared" ca="1" si="12"/>
        <v>CARRO MÉDIO</v>
      </c>
      <c r="E98" s="22" t="str">
        <f t="shared" ca="1" si="13"/>
        <v>NUTC-8899</v>
      </c>
      <c r="F98" s="20" t="str">
        <f t="shared" ca="1" si="14"/>
        <v>10:47</v>
      </c>
      <c r="G98" s="20" t="str">
        <f t="shared" ca="1" si="15"/>
        <v>15:25</v>
      </c>
      <c r="H98" s="20">
        <f t="shared" ca="1" si="16"/>
        <v>0.19305555555555548</v>
      </c>
      <c r="I98" s="22" t="str">
        <f t="shared" ca="1" si="17"/>
        <v>Cartão</v>
      </c>
      <c r="J98" s="17">
        <f t="shared" ca="1" si="18"/>
        <v>69.499999999999972</v>
      </c>
      <c r="K98" s="22" t="str">
        <f t="shared" ca="1" si="19"/>
        <v>A3</v>
      </c>
      <c r="L98" s="22" t="s">
        <v>20</v>
      </c>
    </row>
    <row r="99" spans="2:12" x14ac:dyDescent="0.3">
      <c r="B99" s="22">
        <f t="shared" si="10"/>
        <v>92</v>
      </c>
      <c r="C99" s="11">
        <f t="shared" ca="1" si="11"/>
        <v>44372</v>
      </c>
      <c r="D99" s="22" t="str">
        <f t="shared" ca="1" si="12"/>
        <v>CARRO GRANDE</v>
      </c>
      <c r="E99" s="22" t="str">
        <f t="shared" ca="1" si="13"/>
        <v>JRRZ-1299</v>
      </c>
      <c r="F99" s="20" t="str">
        <f t="shared" ca="1" si="14"/>
        <v>09:29</v>
      </c>
      <c r="G99" s="20" t="str">
        <f t="shared" ca="1" si="15"/>
        <v>13:48</v>
      </c>
      <c r="H99" s="20">
        <f t="shared" ca="1" si="16"/>
        <v>0.17986111111111119</v>
      </c>
      <c r="I99" s="22" t="str">
        <f t="shared" ca="1" si="17"/>
        <v>Dinheiro</v>
      </c>
      <c r="J99" s="17">
        <f t="shared" ca="1" si="18"/>
        <v>86.333333333333371</v>
      </c>
      <c r="K99" s="22" t="str">
        <f t="shared" ca="1" si="19"/>
        <v>B3</v>
      </c>
      <c r="L99" s="22" t="s">
        <v>20</v>
      </c>
    </row>
    <row r="100" spans="2:12" x14ac:dyDescent="0.3">
      <c r="B100" s="22">
        <f t="shared" si="10"/>
        <v>93</v>
      </c>
      <c r="C100" s="11">
        <f t="shared" ca="1" si="11"/>
        <v>44355</v>
      </c>
      <c r="D100" s="22" t="str">
        <f t="shared" ca="1" si="12"/>
        <v>CARRO GRANDE</v>
      </c>
      <c r="E100" s="22" t="str">
        <f t="shared" ca="1" si="13"/>
        <v>BAEM-1317</v>
      </c>
      <c r="F100" s="20" t="str">
        <f t="shared" ca="1" si="14"/>
        <v>09:18</v>
      </c>
      <c r="G100" s="20" t="str">
        <f t="shared" ca="1" si="15"/>
        <v>15:15</v>
      </c>
      <c r="H100" s="20">
        <f t="shared" ca="1" si="16"/>
        <v>0.24791666666666662</v>
      </c>
      <c r="I100" s="22" t="str">
        <f t="shared" ca="1" si="17"/>
        <v>Dinheiro</v>
      </c>
      <c r="J100" s="17">
        <f t="shared" ca="1" si="18"/>
        <v>118.99999999999999</v>
      </c>
      <c r="K100" s="22" t="str">
        <f t="shared" ca="1" si="19"/>
        <v>A1</v>
      </c>
      <c r="L100" s="22" t="s">
        <v>20</v>
      </c>
    </row>
    <row r="101" spans="2:12" x14ac:dyDescent="0.3">
      <c r="B101" s="22">
        <f t="shared" si="10"/>
        <v>94</v>
      </c>
      <c r="C101" s="11">
        <f t="shared" ca="1" si="11"/>
        <v>44382</v>
      </c>
      <c r="D101" s="22" t="str">
        <f t="shared" ca="1" si="12"/>
        <v>CARRO GRANDE</v>
      </c>
      <c r="E101" s="22" t="str">
        <f t="shared" ca="1" si="13"/>
        <v>IZCZ-9745</v>
      </c>
      <c r="F101" s="20" t="str">
        <f t="shared" ca="1" si="14"/>
        <v>07:04</v>
      </c>
      <c r="G101" s="20" t="str">
        <f t="shared" ca="1" si="15"/>
        <v>13:55</v>
      </c>
      <c r="H101" s="20">
        <f t="shared" ca="1" si="16"/>
        <v>0.2854166666666666</v>
      </c>
      <c r="I101" s="22" t="str">
        <f t="shared" ca="1" si="17"/>
        <v>Dinheiro</v>
      </c>
      <c r="J101" s="17">
        <f t="shared" ca="1" si="18"/>
        <v>136.99999999999994</v>
      </c>
      <c r="K101" s="22" t="str">
        <f t="shared" ca="1" si="19"/>
        <v>C2</v>
      </c>
      <c r="L101" s="22" t="s">
        <v>20</v>
      </c>
    </row>
    <row r="102" spans="2:12" x14ac:dyDescent="0.3">
      <c r="B102" s="22">
        <f t="shared" si="10"/>
        <v>95</v>
      </c>
      <c r="C102" s="11">
        <f t="shared" ca="1" si="11"/>
        <v>44417</v>
      </c>
      <c r="D102" s="22" t="str">
        <f t="shared" ca="1" si="12"/>
        <v>CARRO MÉDIO</v>
      </c>
      <c r="E102" s="22" t="str">
        <f t="shared" ca="1" si="13"/>
        <v>DOUS-9298</v>
      </c>
      <c r="F102" s="20" t="str">
        <f t="shared" ca="1" si="14"/>
        <v>10:38</v>
      </c>
      <c r="G102" s="20" t="str">
        <f t="shared" ca="1" si="15"/>
        <v>14:05</v>
      </c>
      <c r="H102" s="20">
        <f t="shared" ca="1" si="16"/>
        <v>0.14375000000000004</v>
      </c>
      <c r="I102" s="22" t="str">
        <f t="shared" ca="1" si="17"/>
        <v>Cartão</v>
      </c>
      <c r="J102" s="17">
        <f t="shared" ca="1" si="18"/>
        <v>51.750000000000014</v>
      </c>
      <c r="K102" s="22" t="str">
        <f t="shared" ca="1" si="19"/>
        <v>A4</v>
      </c>
      <c r="L102" s="22" t="s">
        <v>20</v>
      </c>
    </row>
    <row r="103" spans="2:12" x14ac:dyDescent="0.3">
      <c r="B103" s="22">
        <f t="shared" si="10"/>
        <v>96</v>
      </c>
      <c r="C103" s="11">
        <f t="shared" ca="1" si="11"/>
        <v>44432</v>
      </c>
      <c r="D103" s="22" t="str">
        <f t="shared" ca="1" si="12"/>
        <v>CARRO MÉDIO</v>
      </c>
      <c r="E103" s="22" t="str">
        <f t="shared" ca="1" si="13"/>
        <v>JNLB-8498</v>
      </c>
      <c r="F103" s="20" t="str">
        <f t="shared" ca="1" si="14"/>
        <v>07:04</v>
      </c>
      <c r="G103" s="20" t="str">
        <f t="shared" ca="1" si="15"/>
        <v>12:28</v>
      </c>
      <c r="H103" s="20">
        <f t="shared" ca="1" si="16"/>
        <v>0.22500000000000003</v>
      </c>
      <c r="I103" s="22" t="str">
        <f t="shared" ca="1" si="17"/>
        <v>Dinheiro</v>
      </c>
      <c r="J103" s="17">
        <f t="shared" ca="1" si="18"/>
        <v>81</v>
      </c>
      <c r="K103" s="22" t="str">
        <f t="shared" ca="1" si="19"/>
        <v>A1</v>
      </c>
      <c r="L103" s="22" t="s">
        <v>20</v>
      </c>
    </row>
    <row r="104" spans="2:12" x14ac:dyDescent="0.3">
      <c r="B104" s="22">
        <f t="shared" si="10"/>
        <v>97</v>
      </c>
      <c r="C104" s="11">
        <f t="shared" ca="1" si="11"/>
        <v>44407</v>
      </c>
      <c r="D104" s="22" t="str">
        <f t="shared" ca="1" si="12"/>
        <v>CARRO MÉDIO</v>
      </c>
      <c r="E104" s="22" t="str">
        <f t="shared" ca="1" si="13"/>
        <v>QINI-2697</v>
      </c>
      <c r="F104" s="20" t="str">
        <f t="shared" ca="1" si="14"/>
        <v>07:42</v>
      </c>
      <c r="G104" s="20" t="str">
        <f t="shared" ca="1" si="15"/>
        <v>12:30</v>
      </c>
      <c r="H104" s="20">
        <f t="shared" ca="1" si="16"/>
        <v>0.2</v>
      </c>
      <c r="I104" s="22" t="str">
        <f t="shared" ca="1" si="17"/>
        <v>Dinheiro</v>
      </c>
      <c r="J104" s="17">
        <f t="shared" ca="1" si="18"/>
        <v>72.000000000000014</v>
      </c>
      <c r="K104" s="22" t="str">
        <f t="shared" ca="1" si="19"/>
        <v>C4</v>
      </c>
      <c r="L104" s="22" t="s">
        <v>20</v>
      </c>
    </row>
    <row r="105" spans="2:12" x14ac:dyDescent="0.3">
      <c r="B105" s="22">
        <f t="shared" si="10"/>
        <v>98</v>
      </c>
      <c r="C105" s="11">
        <f t="shared" ca="1" si="11"/>
        <v>44400</v>
      </c>
      <c r="D105" s="22" t="str">
        <f t="shared" ca="1" si="12"/>
        <v>CARRO GRANDE</v>
      </c>
      <c r="E105" s="22" t="str">
        <f t="shared" ca="1" si="13"/>
        <v>IEXK-9844</v>
      </c>
      <c r="F105" s="20" t="str">
        <f t="shared" ca="1" si="14"/>
        <v>07:28</v>
      </c>
      <c r="G105" s="20" t="str">
        <f t="shared" ca="1" si="15"/>
        <v>15:38</v>
      </c>
      <c r="H105" s="20">
        <f t="shared" ca="1" si="16"/>
        <v>0.34027777777777779</v>
      </c>
      <c r="I105" s="22" t="str">
        <f t="shared" ca="1" si="17"/>
        <v>Dinheiro</v>
      </c>
      <c r="J105" s="17">
        <f t="shared" ca="1" si="18"/>
        <v>163.33333333333337</v>
      </c>
      <c r="K105" s="22" t="str">
        <f t="shared" ca="1" si="19"/>
        <v>C5</v>
      </c>
      <c r="L105" s="22" t="s">
        <v>20</v>
      </c>
    </row>
    <row r="106" spans="2:12" x14ac:dyDescent="0.3">
      <c r="B106" s="22">
        <f t="shared" si="10"/>
        <v>99</v>
      </c>
      <c r="C106" s="11">
        <f t="shared" ca="1" si="11"/>
        <v>44450</v>
      </c>
      <c r="D106" s="22" t="str">
        <f t="shared" ca="1" si="12"/>
        <v>MOTO</v>
      </c>
      <c r="E106" s="22" t="str">
        <f t="shared" ca="1" si="13"/>
        <v>SEGY-3548</v>
      </c>
      <c r="F106" s="20" t="str">
        <f t="shared" ca="1" si="14"/>
        <v>09:58</v>
      </c>
      <c r="G106" s="20" t="str">
        <f t="shared" ca="1" si="15"/>
        <v>15:24</v>
      </c>
      <c r="H106" s="20">
        <f t="shared" ca="1" si="16"/>
        <v>0.22638888888888892</v>
      </c>
      <c r="I106" s="22" t="str">
        <f t="shared" ca="1" si="17"/>
        <v>Cartão</v>
      </c>
      <c r="J106" s="17">
        <f t="shared" ca="1" si="18"/>
        <v>48.900000000000006</v>
      </c>
      <c r="K106" s="22" t="str">
        <f t="shared" ca="1" si="19"/>
        <v>B5</v>
      </c>
      <c r="L106" s="22" t="s">
        <v>20</v>
      </c>
    </row>
    <row r="107" spans="2:12" x14ac:dyDescent="0.3">
      <c r="B107" s="22">
        <f t="shared" si="10"/>
        <v>100</v>
      </c>
      <c r="C107" s="11">
        <f t="shared" ca="1" si="11"/>
        <v>44454</v>
      </c>
      <c r="D107" s="22" t="str">
        <f t="shared" ca="1" si="12"/>
        <v>CARRO MÉDIO</v>
      </c>
      <c r="E107" s="22" t="str">
        <f t="shared" ca="1" si="13"/>
        <v>NRUZ-3175</v>
      </c>
      <c r="F107" s="20" t="str">
        <f t="shared" ca="1" si="14"/>
        <v>10:48</v>
      </c>
      <c r="G107" s="20" t="str">
        <f t="shared" ca="1" si="15"/>
        <v>12:30</v>
      </c>
      <c r="H107" s="20">
        <f t="shared" ca="1" si="16"/>
        <v>7.0833333333333359E-2</v>
      </c>
      <c r="I107" s="22" t="str">
        <f t="shared" ca="1" si="17"/>
        <v>Dinheiro</v>
      </c>
      <c r="J107" s="17">
        <f t="shared" ca="1" si="18"/>
        <v>25.500000000000011</v>
      </c>
      <c r="K107" s="22" t="str">
        <f t="shared" ca="1" si="19"/>
        <v>B4</v>
      </c>
      <c r="L107" s="22" t="s">
        <v>20</v>
      </c>
    </row>
    <row r="108" spans="2:12" x14ac:dyDescent="0.3">
      <c r="B108" s="22">
        <f t="shared" si="10"/>
        <v>101</v>
      </c>
      <c r="C108" s="11">
        <f t="shared" ca="1" si="11"/>
        <v>44460</v>
      </c>
      <c r="D108" s="22" t="str">
        <f t="shared" ca="1" si="12"/>
        <v>CARRO PEQUENO</v>
      </c>
      <c r="E108" s="22" t="str">
        <f t="shared" ca="1" si="13"/>
        <v>LSFC-1933</v>
      </c>
      <c r="F108" s="20" t="str">
        <f t="shared" ca="1" si="14"/>
        <v>11:30</v>
      </c>
      <c r="G108" s="20" t="str">
        <f t="shared" ca="1" si="15"/>
        <v>13:32</v>
      </c>
      <c r="H108" s="20">
        <f t="shared" ca="1" si="16"/>
        <v>8.4722222222222199E-2</v>
      </c>
      <c r="I108" s="22" t="str">
        <f t="shared" ca="1" si="17"/>
        <v>Dinheiro</v>
      </c>
      <c r="J108" s="17">
        <f t="shared" ca="1" si="18"/>
        <v>24.399999999999991</v>
      </c>
      <c r="K108" s="22" t="str">
        <f t="shared" ca="1" si="19"/>
        <v>B4</v>
      </c>
      <c r="L108" s="22" t="s">
        <v>20</v>
      </c>
    </row>
    <row r="109" spans="2:12" x14ac:dyDescent="0.3">
      <c r="B109" s="22">
        <f t="shared" si="10"/>
        <v>102</v>
      </c>
      <c r="C109" s="11">
        <f t="shared" ca="1" si="11"/>
        <v>44443</v>
      </c>
      <c r="D109" s="22" t="str">
        <f t="shared" ca="1" si="12"/>
        <v>CARRO PEQUENO</v>
      </c>
      <c r="E109" s="22" t="str">
        <f t="shared" ca="1" si="13"/>
        <v>CZLD-1858</v>
      </c>
      <c r="F109" s="20" t="str">
        <f t="shared" ca="1" si="14"/>
        <v>10:19</v>
      </c>
      <c r="G109" s="20" t="str">
        <f t="shared" ca="1" si="15"/>
        <v>13:26</v>
      </c>
      <c r="H109" s="20">
        <f t="shared" ca="1" si="16"/>
        <v>0.12986111111111115</v>
      </c>
      <c r="I109" s="22" t="str">
        <f t="shared" ca="1" si="17"/>
        <v>Dinheiro</v>
      </c>
      <c r="J109" s="17">
        <f t="shared" ca="1" si="18"/>
        <v>37.400000000000013</v>
      </c>
      <c r="K109" s="22" t="str">
        <f t="shared" ca="1" si="19"/>
        <v>A1</v>
      </c>
      <c r="L109" s="22" t="s">
        <v>20</v>
      </c>
    </row>
    <row r="110" spans="2:12" x14ac:dyDescent="0.3">
      <c r="B110" s="22">
        <f t="shared" si="10"/>
        <v>103</v>
      </c>
      <c r="C110" s="11">
        <f t="shared" ca="1" si="11"/>
        <v>44378</v>
      </c>
      <c r="D110" s="22" t="str">
        <f t="shared" ca="1" si="12"/>
        <v>MOTO</v>
      </c>
      <c r="E110" s="22" t="str">
        <f t="shared" ca="1" si="13"/>
        <v>BRWM-6747</v>
      </c>
      <c r="F110" s="20" t="str">
        <f t="shared" ca="1" si="14"/>
        <v>11:05</v>
      </c>
      <c r="G110" s="20" t="str">
        <f t="shared" ca="1" si="15"/>
        <v>12:15</v>
      </c>
      <c r="H110" s="20">
        <f t="shared" ca="1" si="16"/>
        <v>4.8611111111111049E-2</v>
      </c>
      <c r="I110" s="22" t="str">
        <f t="shared" ca="1" si="17"/>
        <v>Dinheiro</v>
      </c>
      <c r="J110" s="17">
        <f t="shared" ca="1" si="18"/>
        <v>10.499999999999986</v>
      </c>
      <c r="K110" s="22" t="str">
        <f t="shared" ca="1" si="19"/>
        <v>C5</v>
      </c>
      <c r="L110" s="22" t="s">
        <v>20</v>
      </c>
    </row>
    <row r="111" spans="2:12" x14ac:dyDescent="0.3">
      <c r="B111" s="22">
        <f t="shared" si="10"/>
        <v>104</v>
      </c>
      <c r="C111" s="11">
        <f t="shared" ca="1" si="11"/>
        <v>44367</v>
      </c>
      <c r="D111" s="22" t="str">
        <f t="shared" ca="1" si="12"/>
        <v>CARRO MÉDIO</v>
      </c>
      <c r="E111" s="22" t="str">
        <f t="shared" ca="1" si="13"/>
        <v>UJLN-4650</v>
      </c>
      <c r="F111" s="20" t="str">
        <f t="shared" ca="1" si="14"/>
        <v>10:57</v>
      </c>
      <c r="G111" s="20" t="str">
        <f t="shared" ca="1" si="15"/>
        <v>15:50</v>
      </c>
      <c r="H111" s="20">
        <f t="shared" ca="1" si="16"/>
        <v>0.20347222222222222</v>
      </c>
      <c r="I111" s="22" t="str">
        <f t="shared" ca="1" si="17"/>
        <v>Dinheiro</v>
      </c>
      <c r="J111" s="17">
        <f t="shared" ca="1" si="18"/>
        <v>73.25</v>
      </c>
      <c r="K111" s="22" t="str">
        <f t="shared" ca="1" si="19"/>
        <v>B3</v>
      </c>
      <c r="L111" s="22" t="s">
        <v>20</v>
      </c>
    </row>
    <row r="112" spans="2:12" x14ac:dyDescent="0.3">
      <c r="B112" s="22">
        <f t="shared" si="10"/>
        <v>105</v>
      </c>
      <c r="C112" s="11">
        <f t="shared" ca="1" si="11"/>
        <v>44470</v>
      </c>
      <c r="D112" s="22" t="str">
        <f t="shared" ca="1" si="12"/>
        <v>CARRO PEQUENO</v>
      </c>
      <c r="E112" s="22" t="str">
        <f t="shared" ca="1" si="13"/>
        <v>MQJI-8342</v>
      </c>
      <c r="F112" s="20" t="str">
        <f t="shared" ca="1" si="14"/>
        <v>08:36</v>
      </c>
      <c r="G112" s="20" t="str">
        <f t="shared" ca="1" si="15"/>
        <v>12:26</v>
      </c>
      <c r="H112" s="20">
        <f t="shared" ca="1" si="16"/>
        <v>0.15972222222222227</v>
      </c>
      <c r="I112" s="22" t="str">
        <f t="shared" ca="1" si="17"/>
        <v>Cartão</v>
      </c>
      <c r="J112" s="17">
        <f t="shared" ca="1" si="18"/>
        <v>46.000000000000014</v>
      </c>
      <c r="K112" s="22" t="str">
        <f t="shared" ca="1" si="19"/>
        <v>B1</v>
      </c>
      <c r="L112" s="22" t="s">
        <v>20</v>
      </c>
    </row>
    <row r="113" spans="2:12" x14ac:dyDescent="0.3">
      <c r="B113" s="22">
        <f t="shared" si="10"/>
        <v>106</v>
      </c>
      <c r="C113" s="11">
        <f t="shared" ca="1" si="11"/>
        <v>44430</v>
      </c>
      <c r="D113" s="22" t="str">
        <f t="shared" ca="1" si="12"/>
        <v>CARRO PEQUENO</v>
      </c>
      <c r="E113" s="22" t="str">
        <f t="shared" ca="1" si="13"/>
        <v>OIAY-4917</v>
      </c>
      <c r="F113" s="20" t="str">
        <f t="shared" ca="1" si="14"/>
        <v>10:53</v>
      </c>
      <c r="G113" s="20" t="str">
        <f t="shared" ca="1" si="15"/>
        <v>14:23</v>
      </c>
      <c r="H113" s="20">
        <f t="shared" ca="1" si="16"/>
        <v>0.14583333333333331</v>
      </c>
      <c r="I113" s="22" t="str">
        <f t="shared" ca="1" si="17"/>
        <v>Dinheiro</v>
      </c>
      <c r="J113" s="17">
        <f t="shared" ca="1" si="18"/>
        <v>41.999999999999993</v>
      </c>
      <c r="K113" s="22" t="str">
        <f t="shared" ca="1" si="19"/>
        <v>A2</v>
      </c>
      <c r="L113" s="22" t="s">
        <v>20</v>
      </c>
    </row>
    <row r="114" spans="2:12" x14ac:dyDescent="0.3">
      <c r="B114" s="22">
        <f t="shared" si="10"/>
        <v>107</v>
      </c>
      <c r="C114" s="11">
        <f t="shared" ca="1" si="11"/>
        <v>44420</v>
      </c>
      <c r="D114" s="22" t="str">
        <f t="shared" ca="1" si="12"/>
        <v>CARRO GRANDE</v>
      </c>
      <c r="E114" s="22" t="str">
        <f t="shared" ca="1" si="13"/>
        <v>EGMM-3532</v>
      </c>
      <c r="F114" s="20" t="str">
        <f t="shared" ca="1" si="14"/>
        <v>09:47</v>
      </c>
      <c r="G114" s="20" t="str">
        <f t="shared" ca="1" si="15"/>
        <v>14:39</v>
      </c>
      <c r="H114" s="20">
        <f t="shared" ca="1" si="16"/>
        <v>0.20277777777777783</v>
      </c>
      <c r="I114" s="22" t="str">
        <f t="shared" ca="1" si="17"/>
        <v>Cartão</v>
      </c>
      <c r="J114" s="17">
        <f t="shared" ca="1" si="18"/>
        <v>97.333333333333357</v>
      </c>
      <c r="K114" s="22" t="str">
        <f t="shared" ca="1" si="19"/>
        <v>A1</v>
      </c>
      <c r="L114" s="22" t="s">
        <v>20</v>
      </c>
    </row>
    <row r="115" spans="2:12" x14ac:dyDescent="0.3">
      <c r="B115" s="22">
        <f t="shared" si="10"/>
        <v>108</v>
      </c>
      <c r="C115" s="11">
        <f t="shared" ca="1" si="11"/>
        <v>44392</v>
      </c>
      <c r="D115" s="22" t="str">
        <f t="shared" ca="1" si="12"/>
        <v>CARRO GRANDE</v>
      </c>
      <c r="E115" s="22" t="str">
        <f t="shared" ca="1" si="13"/>
        <v>EIYT-5152</v>
      </c>
      <c r="F115" s="20" t="str">
        <f t="shared" ca="1" si="14"/>
        <v>09:53</v>
      </c>
      <c r="G115" s="20" t="str">
        <f t="shared" ca="1" si="15"/>
        <v>12:28</v>
      </c>
      <c r="H115" s="20">
        <f t="shared" ca="1" si="16"/>
        <v>0.10763888888888895</v>
      </c>
      <c r="I115" s="22" t="str">
        <f t="shared" ca="1" si="17"/>
        <v>Dinheiro</v>
      </c>
      <c r="J115" s="17">
        <f t="shared" ca="1" si="18"/>
        <v>51.6666666666667</v>
      </c>
      <c r="K115" s="22" t="str">
        <f t="shared" ca="1" si="19"/>
        <v>A1</v>
      </c>
      <c r="L115" s="22" t="s">
        <v>20</v>
      </c>
    </row>
    <row r="116" spans="2:12" x14ac:dyDescent="0.3">
      <c r="B116" s="22">
        <f t="shared" si="10"/>
        <v>109</v>
      </c>
      <c r="C116" s="11">
        <f t="shared" ca="1" si="11"/>
        <v>44429</v>
      </c>
      <c r="D116" s="22" t="str">
        <f t="shared" ca="1" si="12"/>
        <v>CARRO PEQUENO</v>
      </c>
      <c r="E116" s="22" t="str">
        <f t="shared" ca="1" si="13"/>
        <v>NNIT-2366</v>
      </c>
      <c r="F116" s="20" t="str">
        <f t="shared" ca="1" si="14"/>
        <v>09:07</v>
      </c>
      <c r="G116" s="20" t="str">
        <f t="shared" ca="1" si="15"/>
        <v>15:56</v>
      </c>
      <c r="H116" s="20">
        <f t="shared" ca="1" si="16"/>
        <v>0.28402777777777771</v>
      </c>
      <c r="I116" s="22" t="str">
        <f t="shared" ca="1" si="17"/>
        <v>Dinheiro</v>
      </c>
      <c r="J116" s="17">
        <f t="shared" ca="1" si="18"/>
        <v>81.799999999999983</v>
      </c>
      <c r="K116" s="22" t="str">
        <f t="shared" ca="1" si="19"/>
        <v>B3</v>
      </c>
      <c r="L116" s="22" t="s">
        <v>20</v>
      </c>
    </row>
    <row r="117" spans="2:12" x14ac:dyDescent="0.3">
      <c r="B117" s="22">
        <f t="shared" si="10"/>
        <v>110</v>
      </c>
      <c r="C117" s="11">
        <f t="shared" ca="1" si="11"/>
        <v>44424</v>
      </c>
      <c r="D117" s="22" t="str">
        <f t="shared" ca="1" si="12"/>
        <v>CARRO PEQUENO</v>
      </c>
      <c r="E117" s="22" t="str">
        <f t="shared" ca="1" si="13"/>
        <v>YVCK-6876</v>
      </c>
      <c r="F117" s="20" t="str">
        <f t="shared" ca="1" si="14"/>
        <v>07:07</v>
      </c>
      <c r="G117" s="20" t="str">
        <f t="shared" ca="1" si="15"/>
        <v>12:32</v>
      </c>
      <c r="H117" s="20">
        <f t="shared" ca="1" si="16"/>
        <v>0.22569444444444448</v>
      </c>
      <c r="I117" s="22" t="str">
        <f t="shared" ca="1" si="17"/>
        <v>Dinheiro</v>
      </c>
      <c r="J117" s="17">
        <f t="shared" ca="1" si="18"/>
        <v>65.000000000000014</v>
      </c>
      <c r="K117" s="22" t="str">
        <f t="shared" ca="1" si="19"/>
        <v>A5</v>
      </c>
      <c r="L117" s="22" t="s">
        <v>20</v>
      </c>
    </row>
    <row r="118" spans="2:12" x14ac:dyDescent="0.3">
      <c r="B118" s="22">
        <f t="shared" si="10"/>
        <v>111</v>
      </c>
      <c r="C118" s="11">
        <f t="shared" ca="1" si="11"/>
        <v>44358</v>
      </c>
      <c r="D118" s="22" t="str">
        <f t="shared" ca="1" si="12"/>
        <v>MOTO</v>
      </c>
      <c r="E118" s="22" t="str">
        <f t="shared" ca="1" si="13"/>
        <v>UOBP-2148</v>
      </c>
      <c r="F118" s="20" t="str">
        <f t="shared" ca="1" si="14"/>
        <v>10:45</v>
      </c>
      <c r="G118" s="20" t="str">
        <f t="shared" ca="1" si="15"/>
        <v>12:36</v>
      </c>
      <c r="H118" s="20">
        <f t="shared" ca="1" si="16"/>
        <v>7.7083333333333337E-2</v>
      </c>
      <c r="I118" s="22" t="str">
        <f t="shared" ca="1" si="17"/>
        <v>Cartão</v>
      </c>
      <c r="J118" s="17">
        <f t="shared" ca="1" si="18"/>
        <v>16.650000000000002</v>
      </c>
      <c r="K118" s="22" t="str">
        <f t="shared" ca="1" si="19"/>
        <v>B3</v>
      </c>
      <c r="L118" s="22" t="s">
        <v>20</v>
      </c>
    </row>
    <row r="119" spans="2:12" x14ac:dyDescent="0.3">
      <c r="B119" s="22">
        <f t="shared" si="10"/>
        <v>112</v>
      </c>
      <c r="C119" s="11">
        <f t="shared" ca="1" si="11"/>
        <v>44465</v>
      </c>
      <c r="D119" s="22" t="str">
        <f t="shared" ca="1" si="12"/>
        <v>CARRO MÉDIO</v>
      </c>
      <c r="E119" s="22" t="str">
        <f t="shared" ca="1" si="13"/>
        <v>EPKF-7499</v>
      </c>
      <c r="F119" s="20" t="str">
        <f t="shared" ca="1" si="14"/>
        <v>11:29</v>
      </c>
      <c r="G119" s="20" t="str">
        <f t="shared" ca="1" si="15"/>
        <v>14:40</v>
      </c>
      <c r="H119" s="20">
        <f t="shared" ca="1" si="16"/>
        <v>0.13263888888888886</v>
      </c>
      <c r="I119" s="22" t="str">
        <f t="shared" ca="1" si="17"/>
        <v>Cartão</v>
      </c>
      <c r="J119" s="17">
        <f t="shared" ca="1" si="18"/>
        <v>47.749999999999993</v>
      </c>
      <c r="K119" s="22" t="str">
        <f t="shared" ca="1" si="19"/>
        <v>B4</v>
      </c>
      <c r="L119" s="22" t="s">
        <v>20</v>
      </c>
    </row>
    <row r="120" spans="2:12" x14ac:dyDescent="0.3">
      <c r="B120" s="22">
        <f t="shared" si="10"/>
        <v>113</v>
      </c>
      <c r="C120" s="11">
        <f t="shared" ca="1" si="11"/>
        <v>44438</v>
      </c>
      <c r="D120" s="22" t="str">
        <f t="shared" ca="1" si="12"/>
        <v>CARRO PEQUENO</v>
      </c>
      <c r="E120" s="22" t="str">
        <f t="shared" ca="1" si="13"/>
        <v>RGHB-1151</v>
      </c>
      <c r="F120" s="20" t="str">
        <f t="shared" ca="1" si="14"/>
        <v>09:26</v>
      </c>
      <c r="G120" s="20" t="str">
        <f t="shared" ca="1" si="15"/>
        <v>12:45</v>
      </c>
      <c r="H120" s="20">
        <f t="shared" ca="1" si="16"/>
        <v>0.13819444444444445</v>
      </c>
      <c r="I120" s="22" t="str">
        <f t="shared" ca="1" si="17"/>
        <v>Dinheiro</v>
      </c>
      <c r="J120" s="17">
        <f t="shared" ca="1" si="18"/>
        <v>39.800000000000004</v>
      </c>
      <c r="K120" s="22" t="str">
        <f t="shared" ca="1" si="19"/>
        <v>A1</v>
      </c>
      <c r="L120" s="22" t="s">
        <v>20</v>
      </c>
    </row>
    <row r="121" spans="2:12" x14ac:dyDescent="0.3">
      <c r="B121" s="22">
        <f t="shared" si="10"/>
        <v>114</v>
      </c>
      <c r="C121" s="11">
        <f t="shared" ca="1" si="11"/>
        <v>44369</v>
      </c>
      <c r="D121" s="22" t="str">
        <f t="shared" ca="1" si="12"/>
        <v>CARRO MÉDIO</v>
      </c>
      <c r="E121" s="22" t="str">
        <f t="shared" ca="1" si="13"/>
        <v>UXXR-6840</v>
      </c>
      <c r="F121" s="20" t="str">
        <f t="shared" ca="1" si="14"/>
        <v>10:54</v>
      </c>
      <c r="G121" s="20" t="str">
        <f t="shared" ca="1" si="15"/>
        <v>14:53</v>
      </c>
      <c r="H121" s="20">
        <f t="shared" ca="1" si="16"/>
        <v>0.16597222222222224</v>
      </c>
      <c r="I121" s="22" t="str">
        <f t="shared" ca="1" si="17"/>
        <v>Dinheiro</v>
      </c>
      <c r="J121" s="17">
        <f t="shared" ca="1" si="18"/>
        <v>59.750000000000007</v>
      </c>
      <c r="K121" s="22" t="str">
        <f t="shared" ca="1" si="19"/>
        <v>B4</v>
      </c>
      <c r="L121" s="22" t="s">
        <v>20</v>
      </c>
    </row>
    <row r="122" spans="2:12" x14ac:dyDescent="0.3">
      <c r="B122" s="22">
        <f t="shared" si="10"/>
        <v>115</v>
      </c>
      <c r="C122" s="11">
        <f t="shared" ca="1" si="11"/>
        <v>44434</v>
      </c>
      <c r="D122" s="22" t="str">
        <f t="shared" ca="1" si="12"/>
        <v>CARRO GRANDE</v>
      </c>
      <c r="E122" s="22" t="str">
        <f t="shared" ca="1" si="13"/>
        <v>UTZW-6477</v>
      </c>
      <c r="F122" s="20" t="str">
        <f t="shared" ca="1" si="14"/>
        <v>11:24</v>
      </c>
      <c r="G122" s="20" t="str">
        <f t="shared" ca="1" si="15"/>
        <v>12:02</v>
      </c>
      <c r="H122" s="20">
        <f t="shared" ca="1" si="16"/>
        <v>2.6388888888888851E-2</v>
      </c>
      <c r="I122" s="22" t="str">
        <f t="shared" ca="1" si="17"/>
        <v>Cartão</v>
      </c>
      <c r="J122" s="17">
        <f t="shared" ca="1" si="18"/>
        <v>12.666666666666648</v>
      </c>
      <c r="K122" s="22" t="str">
        <f t="shared" ca="1" si="19"/>
        <v>A4</v>
      </c>
      <c r="L122" s="22" t="s">
        <v>20</v>
      </c>
    </row>
    <row r="123" spans="2:12" x14ac:dyDescent="0.3">
      <c r="B123" s="22">
        <f t="shared" si="10"/>
        <v>116</v>
      </c>
      <c r="C123" s="11">
        <f t="shared" ca="1" si="11"/>
        <v>44374</v>
      </c>
      <c r="D123" s="22" t="str">
        <f t="shared" ca="1" si="12"/>
        <v>CARRO GRANDE</v>
      </c>
      <c r="E123" s="22" t="str">
        <f t="shared" ca="1" si="13"/>
        <v>OYIE-2390</v>
      </c>
      <c r="F123" s="20" t="str">
        <f t="shared" ca="1" si="14"/>
        <v>10:18</v>
      </c>
      <c r="G123" s="20" t="str">
        <f t="shared" ca="1" si="15"/>
        <v>14:42</v>
      </c>
      <c r="H123" s="20">
        <f t="shared" ca="1" si="16"/>
        <v>0.18333333333333324</v>
      </c>
      <c r="I123" s="22" t="str">
        <f t="shared" ca="1" si="17"/>
        <v>Dinheiro</v>
      </c>
      <c r="J123" s="17">
        <f t="shared" ca="1" si="18"/>
        <v>87.999999999999957</v>
      </c>
      <c r="K123" s="22" t="str">
        <f t="shared" ca="1" si="19"/>
        <v>C4</v>
      </c>
      <c r="L123" s="22" t="s">
        <v>20</v>
      </c>
    </row>
    <row r="124" spans="2:12" x14ac:dyDescent="0.3">
      <c r="B124" s="22">
        <f t="shared" si="10"/>
        <v>117</v>
      </c>
      <c r="C124" s="11">
        <f t="shared" ca="1" si="11"/>
        <v>44435</v>
      </c>
      <c r="D124" s="22" t="str">
        <f t="shared" ca="1" si="12"/>
        <v>CARRO GRANDE</v>
      </c>
      <c r="E124" s="22" t="str">
        <f t="shared" ca="1" si="13"/>
        <v>VYOP-9793</v>
      </c>
      <c r="F124" s="20" t="str">
        <f t="shared" ca="1" si="14"/>
        <v>07:40</v>
      </c>
      <c r="G124" s="20" t="str">
        <f t="shared" ca="1" si="15"/>
        <v>13:58</v>
      </c>
      <c r="H124" s="20">
        <f t="shared" ca="1" si="16"/>
        <v>0.26250000000000001</v>
      </c>
      <c r="I124" s="22" t="str">
        <f t="shared" ca="1" si="17"/>
        <v>Cartão</v>
      </c>
      <c r="J124" s="17">
        <f t="shared" ca="1" si="18"/>
        <v>126.00000000000001</v>
      </c>
      <c r="K124" s="22" t="str">
        <f t="shared" ca="1" si="19"/>
        <v>B1</v>
      </c>
      <c r="L124" s="22" t="s">
        <v>20</v>
      </c>
    </row>
    <row r="125" spans="2:12" x14ac:dyDescent="0.3">
      <c r="B125" s="22">
        <f t="shared" si="10"/>
        <v>118</v>
      </c>
      <c r="C125" s="11">
        <f t="shared" ca="1" si="11"/>
        <v>44386</v>
      </c>
      <c r="D125" s="22" t="str">
        <f t="shared" ca="1" si="12"/>
        <v>MOTO</v>
      </c>
      <c r="E125" s="22" t="str">
        <f t="shared" ca="1" si="13"/>
        <v>GUJL-4330</v>
      </c>
      <c r="F125" s="20" t="str">
        <f t="shared" ca="1" si="14"/>
        <v>09:24</v>
      </c>
      <c r="G125" s="20" t="str">
        <f t="shared" ca="1" si="15"/>
        <v>13:14</v>
      </c>
      <c r="H125" s="20">
        <f t="shared" ca="1" si="16"/>
        <v>0.15972222222222215</v>
      </c>
      <c r="I125" s="22" t="str">
        <f t="shared" ca="1" si="17"/>
        <v>Dinheiro</v>
      </c>
      <c r="J125" s="17">
        <f t="shared" ca="1" si="18"/>
        <v>34.499999999999986</v>
      </c>
      <c r="K125" s="22" t="str">
        <f t="shared" ca="1" si="19"/>
        <v>A4</v>
      </c>
      <c r="L125" s="22" t="s">
        <v>20</v>
      </c>
    </row>
    <row r="126" spans="2:12" x14ac:dyDescent="0.3">
      <c r="B126" s="22">
        <f t="shared" si="10"/>
        <v>119</v>
      </c>
      <c r="C126" s="11">
        <f t="shared" ca="1" si="11"/>
        <v>44358</v>
      </c>
      <c r="D126" s="22" t="str">
        <f t="shared" ca="1" si="12"/>
        <v>MOTO</v>
      </c>
      <c r="E126" s="22" t="str">
        <f t="shared" ca="1" si="13"/>
        <v>WBMZ-7585</v>
      </c>
      <c r="F126" s="20" t="str">
        <f t="shared" ca="1" si="14"/>
        <v>07:36</v>
      </c>
      <c r="G126" s="20" t="str">
        <f t="shared" ca="1" si="15"/>
        <v>12:20</v>
      </c>
      <c r="H126" s="20">
        <f t="shared" ca="1" si="16"/>
        <v>0.1972222222222223</v>
      </c>
      <c r="I126" s="22" t="str">
        <f t="shared" ca="1" si="17"/>
        <v>Dinheiro</v>
      </c>
      <c r="J126" s="17">
        <f t="shared" ca="1" si="18"/>
        <v>42.600000000000016</v>
      </c>
      <c r="K126" s="22" t="str">
        <f t="shared" ca="1" si="19"/>
        <v>C5</v>
      </c>
      <c r="L126" s="22" t="s">
        <v>20</v>
      </c>
    </row>
    <row r="127" spans="2:12" x14ac:dyDescent="0.3">
      <c r="B127" s="22">
        <f t="shared" si="10"/>
        <v>120</v>
      </c>
      <c r="C127" s="11">
        <f t="shared" ca="1" si="11"/>
        <v>44389</v>
      </c>
      <c r="D127" s="22" t="str">
        <f t="shared" ca="1" si="12"/>
        <v>CARRO PEQUENO</v>
      </c>
      <c r="E127" s="22" t="str">
        <f t="shared" ca="1" si="13"/>
        <v>MTSA-4592</v>
      </c>
      <c r="F127" s="20" t="str">
        <f t="shared" ca="1" si="14"/>
        <v>10:23</v>
      </c>
      <c r="G127" s="20" t="str">
        <f t="shared" ca="1" si="15"/>
        <v>14:12</v>
      </c>
      <c r="H127" s="20">
        <f t="shared" ca="1" si="16"/>
        <v>0.15902777777777782</v>
      </c>
      <c r="I127" s="22" t="str">
        <f t="shared" ca="1" si="17"/>
        <v>Cartão</v>
      </c>
      <c r="J127" s="17">
        <f t="shared" ca="1" si="18"/>
        <v>45.800000000000011</v>
      </c>
      <c r="K127" s="22" t="str">
        <f t="shared" ca="1" si="19"/>
        <v>A2</v>
      </c>
      <c r="L127" s="22" t="s">
        <v>20</v>
      </c>
    </row>
    <row r="128" spans="2:12" x14ac:dyDescent="0.3">
      <c r="B128" s="22">
        <f t="shared" si="10"/>
        <v>121</v>
      </c>
      <c r="C128" s="11">
        <f t="shared" ca="1" si="11"/>
        <v>44436</v>
      </c>
      <c r="D128" s="22" t="str">
        <f t="shared" ca="1" si="12"/>
        <v>MOTO</v>
      </c>
      <c r="E128" s="22" t="str">
        <f t="shared" ca="1" si="13"/>
        <v>GQOK-3770</v>
      </c>
      <c r="F128" s="20" t="str">
        <f t="shared" ca="1" si="14"/>
        <v>08:23</v>
      </c>
      <c r="G128" s="20" t="str">
        <f t="shared" ca="1" si="15"/>
        <v>13:19</v>
      </c>
      <c r="H128" s="20">
        <f t="shared" ca="1" si="16"/>
        <v>0.2055555555555556</v>
      </c>
      <c r="I128" s="22" t="str">
        <f t="shared" ca="1" si="17"/>
        <v>Cartão</v>
      </c>
      <c r="J128" s="17">
        <f t="shared" ca="1" si="18"/>
        <v>44.400000000000013</v>
      </c>
      <c r="K128" s="22" t="str">
        <f t="shared" ca="1" si="19"/>
        <v>C1</v>
      </c>
      <c r="L128" s="22" t="s">
        <v>20</v>
      </c>
    </row>
    <row r="129" spans="2:12" x14ac:dyDescent="0.3">
      <c r="B129" s="22">
        <f t="shared" si="10"/>
        <v>122</v>
      </c>
      <c r="C129" s="11">
        <f t="shared" ca="1" si="11"/>
        <v>44429</v>
      </c>
      <c r="D129" s="22" t="str">
        <f t="shared" ca="1" si="12"/>
        <v>MOTO</v>
      </c>
      <c r="E129" s="22" t="str">
        <f t="shared" ca="1" si="13"/>
        <v>GVYU-5079</v>
      </c>
      <c r="F129" s="20" t="str">
        <f t="shared" ca="1" si="14"/>
        <v>09:56</v>
      </c>
      <c r="G129" s="20" t="str">
        <f t="shared" ca="1" si="15"/>
        <v>14:06</v>
      </c>
      <c r="H129" s="20">
        <f t="shared" ca="1" si="16"/>
        <v>0.1736111111111111</v>
      </c>
      <c r="I129" s="22" t="str">
        <f t="shared" ca="1" si="17"/>
        <v>Dinheiro</v>
      </c>
      <c r="J129" s="17">
        <f t="shared" ca="1" si="18"/>
        <v>37.499999999999993</v>
      </c>
      <c r="K129" s="22" t="str">
        <f t="shared" ca="1" si="19"/>
        <v>C5</v>
      </c>
      <c r="L129" s="22" t="s">
        <v>20</v>
      </c>
    </row>
    <row r="130" spans="2:12" x14ac:dyDescent="0.3">
      <c r="B130" s="22">
        <f t="shared" si="10"/>
        <v>123</v>
      </c>
      <c r="C130" s="11">
        <f t="shared" ca="1" si="11"/>
        <v>44442</v>
      </c>
      <c r="D130" s="22" t="str">
        <f t="shared" ca="1" si="12"/>
        <v>CARRO GRANDE</v>
      </c>
      <c r="E130" s="22" t="str">
        <f t="shared" ca="1" si="13"/>
        <v>DDHG-7985</v>
      </c>
      <c r="F130" s="20" t="str">
        <f t="shared" ca="1" si="14"/>
        <v>09:54</v>
      </c>
      <c r="G130" s="20" t="str">
        <f t="shared" ca="1" si="15"/>
        <v>12:29</v>
      </c>
      <c r="H130" s="20">
        <f t="shared" ca="1" si="16"/>
        <v>0.10763888888888878</v>
      </c>
      <c r="I130" s="22" t="str">
        <f t="shared" ca="1" si="17"/>
        <v>Dinheiro</v>
      </c>
      <c r="J130" s="17">
        <f t="shared" ca="1" si="18"/>
        <v>51.666666666666615</v>
      </c>
      <c r="K130" s="22" t="str">
        <f t="shared" ca="1" si="19"/>
        <v>B4</v>
      </c>
      <c r="L130" s="22" t="s">
        <v>20</v>
      </c>
    </row>
    <row r="131" spans="2:12" x14ac:dyDescent="0.3">
      <c r="B131" s="22">
        <f t="shared" si="10"/>
        <v>124</v>
      </c>
      <c r="C131" s="11">
        <f t="shared" ca="1" si="11"/>
        <v>44382</v>
      </c>
      <c r="D131" s="22" t="str">
        <f t="shared" ca="1" si="12"/>
        <v>CARRO PEQUENO</v>
      </c>
      <c r="E131" s="22" t="str">
        <f t="shared" ca="1" si="13"/>
        <v>XSIX-7008</v>
      </c>
      <c r="F131" s="20" t="str">
        <f t="shared" ca="1" si="14"/>
        <v>11:50</v>
      </c>
      <c r="G131" s="20" t="str">
        <f t="shared" ca="1" si="15"/>
        <v>15:58</v>
      </c>
      <c r="H131" s="20">
        <f t="shared" ca="1" si="16"/>
        <v>0.17222222222222217</v>
      </c>
      <c r="I131" s="22" t="str">
        <f t="shared" ca="1" si="17"/>
        <v>Cartão</v>
      </c>
      <c r="J131" s="17">
        <f t="shared" ca="1" si="18"/>
        <v>49.59999999999998</v>
      </c>
      <c r="K131" s="22" t="str">
        <f t="shared" ca="1" si="19"/>
        <v>C1</v>
      </c>
      <c r="L131" s="22" t="s">
        <v>20</v>
      </c>
    </row>
    <row r="132" spans="2:12" x14ac:dyDescent="0.3">
      <c r="B132" s="22">
        <f t="shared" si="10"/>
        <v>125</v>
      </c>
      <c r="C132" s="11">
        <f t="shared" ca="1" si="11"/>
        <v>44408</v>
      </c>
      <c r="D132" s="22" t="str">
        <f t="shared" ca="1" si="12"/>
        <v>CARRO MÉDIO</v>
      </c>
      <c r="E132" s="22" t="str">
        <f t="shared" ca="1" si="13"/>
        <v>DLSD-6075</v>
      </c>
      <c r="F132" s="20" t="str">
        <f t="shared" ca="1" si="14"/>
        <v>09:03</v>
      </c>
      <c r="G132" s="20" t="str">
        <f t="shared" ca="1" si="15"/>
        <v>13:20</v>
      </c>
      <c r="H132" s="20">
        <f t="shared" ca="1" si="16"/>
        <v>0.1784722222222222</v>
      </c>
      <c r="I132" s="22" t="str">
        <f t="shared" ca="1" si="17"/>
        <v>Dinheiro</v>
      </c>
      <c r="J132" s="17">
        <f t="shared" ca="1" si="18"/>
        <v>64.25</v>
      </c>
      <c r="K132" s="22" t="str">
        <f t="shared" ca="1" si="19"/>
        <v>C4</v>
      </c>
      <c r="L132" s="22" t="s">
        <v>20</v>
      </c>
    </row>
    <row r="133" spans="2:12" x14ac:dyDescent="0.3">
      <c r="B133" s="22">
        <f t="shared" si="10"/>
        <v>126</v>
      </c>
      <c r="C133" s="11">
        <f t="shared" ca="1" si="11"/>
        <v>44417</v>
      </c>
      <c r="D133" s="22" t="str">
        <f t="shared" ca="1" si="12"/>
        <v>CARRO PEQUENO</v>
      </c>
      <c r="E133" s="22" t="str">
        <f t="shared" ca="1" si="13"/>
        <v>HWXR-9112</v>
      </c>
      <c r="F133" s="20" t="str">
        <f t="shared" ca="1" si="14"/>
        <v>07:54</v>
      </c>
      <c r="G133" s="20" t="str">
        <f t="shared" ca="1" si="15"/>
        <v>14:06</v>
      </c>
      <c r="H133" s="20">
        <f t="shared" ca="1" si="16"/>
        <v>0.25833333333333336</v>
      </c>
      <c r="I133" s="22" t="str">
        <f t="shared" ca="1" si="17"/>
        <v>Cartão</v>
      </c>
      <c r="J133" s="17">
        <f t="shared" ca="1" si="18"/>
        <v>74.400000000000006</v>
      </c>
      <c r="K133" s="22" t="str">
        <f t="shared" ca="1" si="19"/>
        <v>B4</v>
      </c>
      <c r="L133" s="22" t="s">
        <v>20</v>
      </c>
    </row>
    <row r="134" spans="2:12" x14ac:dyDescent="0.3">
      <c r="B134" s="22">
        <f t="shared" si="10"/>
        <v>127</v>
      </c>
      <c r="C134" s="11">
        <f t="shared" ca="1" si="11"/>
        <v>44367</v>
      </c>
      <c r="D134" s="22" t="str">
        <f t="shared" ca="1" si="12"/>
        <v>CARRO PEQUENO</v>
      </c>
      <c r="E134" s="22" t="str">
        <f t="shared" ca="1" si="13"/>
        <v>TAXF-2164</v>
      </c>
      <c r="F134" s="20" t="str">
        <f t="shared" ca="1" si="14"/>
        <v>10:42</v>
      </c>
      <c r="G134" s="20" t="str">
        <f t="shared" ca="1" si="15"/>
        <v>13:23</v>
      </c>
      <c r="H134" s="20">
        <f t="shared" ca="1" si="16"/>
        <v>0.1118055555555556</v>
      </c>
      <c r="I134" s="22" t="str">
        <f t="shared" ca="1" si="17"/>
        <v>Dinheiro</v>
      </c>
      <c r="J134" s="17">
        <f t="shared" ca="1" si="18"/>
        <v>32.200000000000017</v>
      </c>
      <c r="K134" s="22" t="str">
        <f t="shared" ca="1" si="19"/>
        <v>A5</v>
      </c>
      <c r="L134" s="22" t="s">
        <v>20</v>
      </c>
    </row>
    <row r="135" spans="2:12" x14ac:dyDescent="0.3">
      <c r="B135" s="22">
        <f t="shared" si="10"/>
        <v>128</v>
      </c>
      <c r="C135" s="11">
        <f t="shared" ca="1" si="11"/>
        <v>44461</v>
      </c>
      <c r="D135" s="22" t="str">
        <f t="shared" ca="1" si="12"/>
        <v>CARRO PEQUENO</v>
      </c>
      <c r="E135" s="22" t="str">
        <f t="shared" ca="1" si="13"/>
        <v>NZWA-1305</v>
      </c>
      <c r="F135" s="20" t="str">
        <f t="shared" ca="1" si="14"/>
        <v>07:31</v>
      </c>
      <c r="G135" s="20" t="str">
        <f t="shared" ca="1" si="15"/>
        <v>15:25</v>
      </c>
      <c r="H135" s="20">
        <f t="shared" ca="1" si="16"/>
        <v>0.32916666666666661</v>
      </c>
      <c r="I135" s="22" t="str">
        <f t="shared" ca="1" si="17"/>
        <v>Cartão</v>
      </c>
      <c r="J135" s="17">
        <f t="shared" ca="1" si="18"/>
        <v>94.799999999999983</v>
      </c>
      <c r="K135" s="22" t="str">
        <f t="shared" ca="1" si="19"/>
        <v>A2</v>
      </c>
      <c r="L135" s="22" t="s">
        <v>20</v>
      </c>
    </row>
    <row r="136" spans="2:12" x14ac:dyDescent="0.3">
      <c r="B136" s="22">
        <f t="shared" si="10"/>
        <v>129</v>
      </c>
      <c r="C136" s="11">
        <f t="shared" ca="1" si="11"/>
        <v>44469</v>
      </c>
      <c r="D136" s="22" t="str">
        <f t="shared" ca="1" si="12"/>
        <v>CARRO PEQUENO</v>
      </c>
      <c r="E136" s="22" t="str">
        <f t="shared" ca="1" si="13"/>
        <v>LKMG-3756</v>
      </c>
      <c r="F136" s="20" t="str">
        <f t="shared" ca="1" si="14"/>
        <v>09:18</v>
      </c>
      <c r="G136" s="20" t="str">
        <f t="shared" ca="1" si="15"/>
        <v>13:22</v>
      </c>
      <c r="H136" s="20">
        <f t="shared" ca="1" si="16"/>
        <v>0.16944444444444445</v>
      </c>
      <c r="I136" s="22" t="str">
        <f t="shared" ca="1" si="17"/>
        <v>Dinheiro</v>
      </c>
      <c r="J136" s="17">
        <f t="shared" ca="1" si="18"/>
        <v>48.8</v>
      </c>
      <c r="K136" s="22" t="str">
        <f t="shared" ca="1" si="19"/>
        <v>A4</v>
      </c>
      <c r="L136" s="22" t="s">
        <v>20</v>
      </c>
    </row>
    <row r="137" spans="2:12" x14ac:dyDescent="0.3">
      <c r="B137" s="22">
        <f t="shared" ref="B137:B200" si="20">ROW(A130)</f>
        <v>130</v>
      </c>
      <c r="C137" s="11">
        <f t="shared" ref="C137:C200" ca="1" si="21">DATE(2021,RANDBETWEEN(6,9),RANDBETWEEN(1,31))</f>
        <v>44411</v>
      </c>
      <c r="D137" s="22" t="str">
        <f t="shared" ref="D137:D200" ca="1" si="22">CHOOSE(RANDBETWEEN(1,4),$D$2,$D$3,$D$4,$D$5)</f>
        <v>CARRO PEQUENO</v>
      </c>
      <c r="E137" s="22" t="str">
        <f t="shared" ref="E137:E200" ca="1" si="23">CHAR(RANDBETWEEN(65,90))&amp;CHAR(RANDBETWEEN(65,90))&amp;CHAR(RANDBETWEEN(65,90))&amp;CHAR(RANDBETWEEN(65,90))&amp;"-"&amp;RANDBETWEEN(1111,9999)</f>
        <v>ECED-8562</v>
      </c>
      <c r="F137" s="20" t="str">
        <f t="shared" ref="F137:F200" ca="1" si="24">TEXT(RANDBETWEEN(7,11)&amp;":"&amp;RANDBETWEEN(1,59),"HH:MM")</f>
        <v>10:34</v>
      </c>
      <c r="G137" s="20" t="str">
        <f t="shared" ref="G137:G200" ca="1" si="25">TEXT(RANDBETWEEN(12,15)&amp;":"&amp;RANDBETWEEN(1,59),"HH:MM")</f>
        <v>15:44</v>
      </c>
      <c r="H137" s="20">
        <f t="shared" ref="H137:H200" ca="1" si="26">G137-F137</f>
        <v>0.21527777777777779</v>
      </c>
      <c r="I137" s="22" t="str">
        <f t="shared" ref="I137:I200" ca="1" si="27">CHOOSE(RANDBETWEEN(1,2),"Cartão","Dinheiro")</f>
        <v>Dinheiro</v>
      </c>
      <c r="J137" s="17">
        <f t="shared" ref="J137:J200" ca="1" si="28">H137*24*IF(D137=$D$2,$E$2,IF(D137=$D$3,$E$3,IF(D137=$D$4,$E$4,IF(D137=$D$5,$E$5))))</f>
        <v>62</v>
      </c>
      <c r="K137" s="22" t="str">
        <f t="shared" ref="K137:K200" ca="1" si="29">CHOOSE(RANDBETWEEN(1,15),"A1","A2","A3","A4","A5","B1","B2","B3","B4","B5","C1","C2","C3","C4","C5")</f>
        <v>B2</v>
      </c>
      <c r="L137" s="22" t="s">
        <v>20</v>
      </c>
    </row>
    <row r="138" spans="2:12" x14ac:dyDescent="0.3">
      <c r="B138" s="22">
        <f t="shared" si="20"/>
        <v>131</v>
      </c>
      <c r="C138" s="11">
        <f t="shared" ca="1" si="21"/>
        <v>44354</v>
      </c>
      <c r="D138" s="22" t="str">
        <f t="shared" ca="1" si="22"/>
        <v>CARRO GRANDE</v>
      </c>
      <c r="E138" s="22" t="str">
        <f t="shared" ca="1" si="23"/>
        <v>AJYN-9882</v>
      </c>
      <c r="F138" s="20" t="str">
        <f t="shared" ca="1" si="24"/>
        <v>11:40</v>
      </c>
      <c r="G138" s="20" t="str">
        <f t="shared" ca="1" si="25"/>
        <v>14:20</v>
      </c>
      <c r="H138" s="20">
        <f t="shared" ca="1" si="26"/>
        <v>0.1111111111111111</v>
      </c>
      <c r="I138" s="22" t="str">
        <f t="shared" ca="1" si="27"/>
        <v>Cartão</v>
      </c>
      <c r="J138" s="17">
        <f t="shared" ca="1" si="28"/>
        <v>53.333333333333329</v>
      </c>
      <c r="K138" s="22" t="str">
        <f t="shared" ca="1" si="29"/>
        <v>C1</v>
      </c>
      <c r="L138" s="22" t="s">
        <v>20</v>
      </c>
    </row>
    <row r="139" spans="2:12" x14ac:dyDescent="0.3">
      <c r="B139" s="22">
        <f t="shared" si="20"/>
        <v>132</v>
      </c>
      <c r="C139" s="11">
        <f t="shared" ca="1" si="21"/>
        <v>44462</v>
      </c>
      <c r="D139" s="22" t="str">
        <f t="shared" ca="1" si="22"/>
        <v>CARRO MÉDIO</v>
      </c>
      <c r="E139" s="22" t="str">
        <f t="shared" ca="1" si="23"/>
        <v>OBSM-3792</v>
      </c>
      <c r="F139" s="20" t="str">
        <f t="shared" ca="1" si="24"/>
        <v>10:57</v>
      </c>
      <c r="G139" s="20" t="str">
        <f t="shared" ca="1" si="25"/>
        <v>13:48</v>
      </c>
      <c r="H139" s="20">
        <f t="shared" ca="1" si="26"/>
        <v>0.11875000000000008</v>
      </c>
      <c r="I139" s="22" t="str">
        <f t="shared" ca="1" si="27"/>
        <v>Dinheiro</v>
      </c>
      <c r="J139" s="17">
        <f t="shared" ca="1" si="28"/>
        <v>42.750000000000028</v>
      </c>
      <c r="K139" s="22" t="str">
        <f t="shared" ca="1" si="29"/>
        <v>A4</v>
      </c>
      <c r="L139" s="22" t="s">
        <v>20</v>
      </c>
    </row>
    <row r="140" spans="2:12" x14ac:dyDescent="0.3">
      <c r="B140" s="22">
        <f t="shared" si="20"/>
        <v>133</v>
      </c>
      <c r="C140" s="11">
        <f t="shared" ca="1" si="21"/>
        <v>44416</v>
      </c>
      <c r="D140" s="22" t="str">
        <f t="shared" ca="1" si="22"/>
        <v>MOTO</v>
      </c>
      <c r="E140" s="22" t="str">
        <f t="shared" ca="1" si="23"/>
        <v>OBFU-8124</v>
      </c>
      <c r="F140" s="20" t="str">
        <f t="shared" ca="1" si="24"/>
        <v>10:16</v>
      </c>
      <c r="G140" s="20" t="str">
        <f t="shared" ca="1" si="25"/>
        <v>12:17</v>
      </c>
      <c r="H140" s="20">
        <f t="shared" ca="1" si="26"/>
        <v>8.4027777777777701E-2</v>
      </c>
      <c r="I140" s="22" t="str">
        <f t="shared" ca="1" si="27"/>
        <v>Cartão</v>
      </c>
      <c r="J140" s="17">
        <f t="shared" ca="1" si="28"/>
        <v>18.149999999999984</v>
      </c>
      <c r="K140" s="22" t="str">
        <f t="shared" ca="1" si="29"/>
        <v>A5</v>
      </c>
      <c r="L140" s="22" t="s">
        <v>20</v>
      </c>
    </row>
    <row r="141" spans="2:12" x14ac:dyDescent="0.3">
      <c r="B141" s="22">
        <f t="shared" si="20"/>
        <v>134</v>
      </c>
      <c r="C141" s="11">
        <f t="shared" ca="1" si="21"/>
        <v>44359</v>
      </c>
      <c r="D141" s="22" t="str">
        <f t="shared" ca="1" si="22"/>
        <v>CARRO PEQUENO</v>
      </c>
      <c r="E141" s="22" t="str">
        <f t="shared" ca="1" si="23"/>
        <v>RGFB-3422</v>
      </c>
      <c r="F141" s="20" t="str">
        <f t="shared" ca="1" si="24"/>
        <v>09:24</v>
      </c>
      <c r="G141" s="20" t="str">
        <f t="shared" ca="1" si="25"/>
        <v>15:28</v>
      </c>
      <c r="H141" s="20">
        <f t="shared" ca="1" si="26"/>
        <v>0.25277777777777782</v>
      </c>
      <c r="I141" s="22" t="str">
        <f t="shared" ca="1" si="27"/>
        <v>Cartão</v>
      </c>
      <c r="J141" s="17">
        <f t="shared" ca="1" si="28"/>
        <v>72.800000000000011</v>
      </c>
      <c r="K141" s="22" t="str">
        <f t="shared" ca="1" si="29"/>
        <v>B5</v>
      </c>
      <c r="L141" s="22" t="s">
        <v>20</v>
      </c>
    </row>
    <row r="142" spans="2:12" x14ac:dyDescent="0.3">
      <c r="B142" s="22">
        <f t="shared" si="20"/>
        <v>135</v>
      </c>
      <c r="C142" s="11">
        <f t="shared" ca="1" si="21"/>
        <v>44362</v>
      </c>
      <c r="D142" s="22" t="str">
        <f t="shared" ca="1" si="22"/>
        <v>CARRO PEQUENO</v>
      </c>
      <c r="E142" s="22" t="str">
        <f t="shared" ca="1" si="23"/>
        <v>ISCY-3701</v>
      </c>
      <c r="F142" s="20" t="str">
        <f t="shared" ca="1" si="24"/>
        <v>11:46</v>
      </c>
      <c r="G142" s="20" t="str">
        <f t="shared" ca="1" si="25"/>
        <v>14:53</v>
      </c>
      <c r="H142" s="20">
        <f t="shared" ca="1" si="26"/>
        <v>0.12986111111111109</v>
      </c>
      <c r="I142" s="22" t="str">
        <f t="shared" ca="1" si="27"/>
        <v>Dinheiro</v>
      </c>
      <c r="J142" s="17">
        <f t="shared" ca="1" si="28"/>
        <v>37.399999999999991</v>
      </c>
      <c r="K142" s="22" t="str">
        <f t="shared" ca="1" si="29"/>
        <v>A2</v>
      </c>
      <c r="L142" s="22" t="s">
        <v>20</v>
      </c>
    </row>
    <row r="143" spans="2:12" x14ac:dyDescent="0.3">
      <c r="B143" s="22">
        <f t="shared" si="20"/>
        <v>136</v>
      </c>
      <c r="C143" s="11">
        <f t="shared" ca="1" si="21"/>
        <v>44397</v>
      </c>
      <c r="D143" s="22" t="str">
        <f t="shared" ca="1" si="22"/>
        <v>CARRO PEQUENO</v>
      </c>
      <c r="E143" s="22" t="str">
        <f t="shared" ca="1" si="23"/>
        <v>TLAB-3460</v>
      </c>
      <c r="F143" s="20" t="str">
        <f t="shared" ca="1" si="24"/>
        <v>10:25</v>
      </c>
      <c r="G143" s="20" t="str">
        <f t="shared" ca="1" si="25"/>
        <v>15:35</v>
      </c>
      <c r="H143" s="20">
        <f t="shared" ca="1" si="26"/>
        <v>0.21527777777777785</v>
      </c>
      <c r="I143" s="22" t="str">
        <f t="shared" ca="1" si="27"/>
        <v>Dinheiro</v>
      </c>
      <c r="J143" s="17">
        <f t="shared" ca="1" si="28"/>
        <v>62.000000000000014</v>
      </c>
      <c r="K143" s="22" t="str">
        <f t="shared" ca="1" si="29"/>
        <v>C5</v>
      </c>
      <c r="L143" s="22" t="s">
        <v>20</v>
      </c>
    </row>
    <row r="144" spans="2:12" x14ac:dyDescent="0.3">
      <c r="B144" s="22">
        <f t="shared" si="20"/>
        <v>137</v>
      </c>
      <c r="C144" s="11">
        <f t="shared" ca="1" si="21"/>
        <v>44403</v>
      </c>
      <c r="D144" s="22" t="str">
        <f t="shared" ca="1" si="22"/>
        <v>CARRO PEQUENO</v>
      </c>
      <c r="E144" s="22" t="str">
        <f t="shared" ca="1" si="23"/>
        <v>UBXE-7117</v>
      </c>
      <c r="F144" s="20" t="str">
        <f t="shared" ca="1" si="24"/>
        <v>10:46</v>
      </c>
      <c r="G144" s="20" t="str">
        <f t="shared" ca="1" si="25"/>
        <v>14:20</v>
      </c>
      <c r="H144" s="20">
        <f t="shared" ca="1" si="26"/>
        <v>0.14861111111111108</v>
      </c>
      <c r="I144" s="22" t="str">
        <f t="shared" ca="1" si="27"/>
        <v>Cartão</v>
      </c>
      <c r="J144" s="17">
        <f t="shared" ca="1" si="28"/>
        <v>42.79999999999999</v>
      </c>
      <c r="K144" s="22" t="str">
        <f t="shared" ca="1" si="29"/>
        <v>A4</v>
      </c>
      <c r="L144" s="22" t="s">
        <v>20</v>
      </c>
    </row>
    <row r="145" spans="2:12" x14ac:dyDescent="0.3">
      <c r="B145" s="22">
        <f t="shared" si="20"/>
        <v>138</v>
      </c>
      <c r="C145" s="11">
        <f t="shared" ca="1" si="21"/>
        <v>44401</v>
      </c>
      <c r="D145" s="22" t="str">
        <f t="shared" ca="1" si="22"/>
        <v>CARRO GRANDE</v>
      </c>
      <c r="E145" s="22" t="str">
        <f t="shared" ca="1" si="23"/>
        <v>PRXT-6113</v>
      </c>
      <c r="F145" s="20" t="str">
        <f t="shared" ca="1" si="24"/>
        <v>11:30</v>
      </c>
      <c r="G145" s="20" t="str">
        <f t="shared" ca="1" si="25"/>
        <v>12:21</v>
      </c>
      <c r="H145" s="20">
        <f t="shared" ca="1" si="26"/>
        <v>3.5416666666666596E-2</v>
      </c>
      <c r="I145" s="22" t="str">
        <f t="shared" ca="1" si="27"/>
        <v>Dinheiro</v>
      </c>
      <c r="J145" s="17">
        <f t="shared" ca="1" si="28"/>
        <v>16.999999999999964</v>
      </c>
      <c r="K145" s="22" t="str">
        <f t="shared" ca="1" si="29"/>
        <v>C1</v>
      </c>
      <c r="L145" s="22" t="s">
        <v>20</v>
      </c>
    </row>
    <row r="146" spans="2:12" x14ac:dyDescent="0.3">
      <c r="B146" s="22">
        <f t="shared" si="20"/>
        <v>139</v>
      </c>
      <c r="C146" s="11">
        <f t="shared" ca="1" si="21"/>
        <v>44396</v>
      </c>
      <c r="D146" s="22" t="str">
        <f t="shared" ca="1" si="22"/>
        <v>CARRO GRANDE</v>
      </c>
      <c r="E146" s="22" t="str">
        <f t="shared" ca="1" si="23"/>
        <v>WPKY-7122</v>
      </c>
      <c r="F146" s="20" t="str">
        <f t="shared" ca="1" si="24"/>
        <v>11:27</v>
      </c>
      <c r="G146" s="20" t="str">
        <f t="shared" ca="1" si="25"/>
        <v>14:19</v>
      </c>
      <c r="H146" s="20">
        <f t="shared" ca="1" si="26"/>
        <v>0.11944444444444446</v>
      </c>
      <c r="I146" s="22" t="str">
        <f t="shared" ca="1" si="27"/>
        <v>Dinheiro</v>
      </c>
      <c r="J146" s="17">
        <f t="shared" ca="1" si="28"/>
        <v>57.333333333333343</v>
      </c>
      <c r="K146" s="22" t="str">
        <f t="shared" ca="1" si="29"/>
        <v>C1</v>
      </c>
      <c r="L146" s="22" t="s">
        <v>20</v>
      </c>
    </row>
    <row r="147" spans="2:12" x14ac:dyDescent="0.3">
      <c r="B147" s="22">
        <f t="shared" si="20"/>
        <v>140</v>
      </c>
      <c r="C147" s="11">
        <f t="shared" ca="1" si="21"/>
        <v>44444</v>
      </c>
      <c r="D147" s="22" t="str">
        <f t="shared" ca="1" si="22"/>
        <v>CARRO PEQUENO</v>
      </c>
      <c r="E147" s="22" t="str">
        <f t="shared" ca="1" si="23"/>
        <v>FENZ-6080</v>
      </c>
      <c r="F147" s="20" t="str">
        <f t="shared" ca="1" si="24"/>
        <v>11:22</v>
      </c>
      <c r="G147" s="20" t="str">
        <f t="shared" ca="1" si="25"/>
        <v>15:26</v>
      </c>
      <c r="H147" s="20">
        <f t="shared" ca="1" si="26"/>
        <v>0.16944444444444445</v>
      </c>
      <c r="I147" s="22" t="str">
        <f t="shared" ca="1" si="27"/>
        <v>Dinheiro</v>
      </c>
      <c r="J147" s="17">
        <f t="shared" ca="1" si="28"/>
        <v>48.8</v>
      </c>
      <c r="K147" s="22" t="str">
        <f t="shared" ca="1" si="29"/>
        <v>B5</v>
      </c>
      <c r="L147" s="22" t="s">
        <v>20</v>
      </c>
    </row>
    <row r="148" spans="2:12" x14ac:dyDescent="0.3">
      <c r="B148" s="22">
        <f t="shared" si="20"/>
        <v>141</v>
      </c>
      <c r="C148" s="11">
        <f t="shared" ca="1" si="21"/>
        <v>44457</v>
      </c>
      <c r="D148" s="22" t="str">
        <f t="shared" ca="1" si="22"/>
        <v>CARRO MÉDIO</v>
      </c>
      <c r="E148" s="22" t="str">
        <f t="shared" ca="1" si="23"/>
        <v>OKNP-9944</v>
      </c>
      <c r="F148" s="20" t="str">
        <f t="shared" ca="1" si="24"/>
        <v>08:55</v>
      </c>
      <c r="G148" s="20" t="str">
        <f t="shared" ca="1" si="25"/>
        <v>13:08</v>
      </c>
      <c r="H148" s="20">
        <f t="shared" ca="1" si="26"/>
        <v>0.17569444444444443</v>
      </c>
      <c r="I148" s="22" t="str">
        <f t="shared" ca="1" si="27"/>
        <v>Cartão</v>
      </c>
      <c r="J148" s="17">
        <f t="shared" ca="1" si="28"/>
        <v>63.25</v>
      </c>
      <c r="K148" s="22" t="str">
        <f t="shared" ca="1" si="29"/>
        <v>B1</v>
      </c>
      <c r="L148" s="22" t="s">
        <v>20</v>
      </c>
    </row>
    <row r="149" spans="2:12" x14ac:dyDescent="0.3">
      <c r="B149" s="22">
        <f t="shared" si="20"/>
        <v>142</v>
      </c>
      <c r="C149" s="11">
        <f t="shared" ca="1" si="21"/>
        <v>44444</v>
      </c>
      <c r="D149" s="22" t="str">
        <f t="shared" ca="1" si="22"/>
        <v>CARRO GRANDE</v>
      </c>
      <c r="E149" s="22" t="str">
        <f t="shared" ca="1" si="23"/>
        <v>YXPZ-9385</v>
      </c>
      <c r="F149" s="20" t="str">
        <f t="shared" ca="1" si="24"/>
        <v>07:40</v>
      </c>
      <c r="G149" s="20" t="str">
        <f t="shared" ca="1" si="25"/>
        <v>13:47</v>
      </c>
      <c r="H149" s="20">
        <f t="shared" ca="1" si="26"/>
        <v>0.25486111111111104</v>
      </c>
      <c r="I149" s="22" t="str">
        <f t="shared" ca="1" si="27"/>
        <v>Dinheiro</v>
      </c>
      <c r="J149" s="17">
        <f t="shared" ca="1" si="28"/>
        <v>122.33333333333331</v>
      </c>
      <c r="K149" s="22" t="str">
        <f t="shared" ca="1" si="29"/>
        <v>C2</v>
      </c>
      <c r="L149" s="22" t="s">
        <v>20</v>
      </c>
    </row>
    <row r="150" spans="2:12" x14ac:dyDescent="0.3">
      <c r="B150" s="22">
        <f t="shared" si="20"/>
        <v>143</v>
      </c>
      <c r="C150" s="11">
        <f t="shared" ca="1" si="21"/>
        <v>44455</v>
      </c>
      <c r="D150" s="22" t="str">
        <f t="shared" ca="1" si="22"/>
        <v>CARRO PEQUENO</v>
      </c>
      <c r="E150" s="22" t="str">
        <f t="shared" ca="1" si="23"/>
        <v>GZUQ-1943</v>
      </c>
      <c r="F150" s="20" t="str">
        <f t="shared" ca="1" si="24"/>
        <v>07:13</v>
      </c>
      <c r="G150" s="20" t="str">
        <f t="shared" ca="1" si="25"/>
        <v>15:53</v>
      </c>
      <c r="H150" s="20">
        <f t="shared" ca="1" si="26"/>
        <v>0.3611111111111111</v>
      </c>
      <c r="I150" s="22" t="str">
        <f t="shared" ca="1" si="27"/>
        <v>Cartão</v>
      </c>
      <c r="J150" s="17">
        <f t="shared" ca="1" si="28"/>
        <v>104</v>
      </c>
      <c r="K150" s="22" t="str">
        <f t="shared" ca="1" si="29"/>
        <v>C2</v>
      </c>
      <c r="L150" s="22" t="s">
        <v>20</v>
      </c>
    </row>
    <row r="151" spans="2:12" x14ac:dyDescent="0.3">
      <c r="B151" s="22">
        <f t="shared" si="20"/>
        <v>144</v>
      </c>
      <c r="C151" s="11">
        <f t="shared" ca="1" si="21"/>
        <v>44423</v>
      </c>
      <c r="D151" s="22" t="str">
        <f t="shared" ca="1" si="22"/>
        <v>CARRO MÉDIO</v>
      </c>
      <c r="E151" s="22" t="str">
        <f t="shared" ca="1" si="23"/>
        <v>IIDB-3031</v>
      </c>
      <c r="F151" s="20" t="str">
        <f t="shared" ca="1" si="24"/>
        <v>09:28</v>
      </c>
      <c r="G151" s="20" t="str">
        <f t="shared" ca="1" si="25"/>
        <v>15:54</v>
      </c>
      <c r="H151" s="20">
        <f t="shared" ca="1" si="26"/>
        <v>0.26805555555555555</v>
      </c>
      <c r="I151" s="22" t="str">
        <f t="shared" ca="1" si="27"/>
        <v>Dinheiro</v>
      </c>
      <c r="J151" s="17">
        <f t="shared" ca="1" si="28"/>
        <v>96.5</v>
      </c>
      <c r="K151" s="22" t="str">
        <f t="shared" ca="1" si="29"/>
        <v>B2</v>
      </c>
      <c r="L151" s="22" t="s">
        <v>20</v>
      </c>
    </row>
    <row r="152" spans="2:12" x14ac:dyDescent="0.3">
      <c r="B152" s="22">
        <f t="shared" si="20"/>
        <v>145</v>
      </c>
      <c r="C152" s="11">
        <f t="shared" ca="1" si="21"/>
        <v>44391</v>
      </c>
      <c r="D152" s="22" t="str">
        <f t="shared" ca="1" si="22"/>
        <v>CARRO GRANDE</v>
      </c>
      <c r="E152" s="22" t="str">
        <f t="shared" ca="1" si="23"/>
        <v>HQRE-3214</v>
      </c>
      <c r="F152" s="20" t="str">
        <f t="shared" ca="1" si="24"/>
        <v>07:24</v>
      </c>
      <c r="G152" s="20" t="str">
        <f t="shared" ca="1" si="25"/>
        <v>15:03</v>
      </c>
      <c r="H152" s="20">
        <f t="shared" ca="1" si="26"/>
        <v>0.31874999999999998</v>
      </c>
      <c r="I152" s="22" t="str">
        <f t="shared" ca="1" si="27"/>
        <v>Dinheiro</v>
      </c>
      <c r="J152" s="17">
        <f t="shared" ca="1" si="28"/>
        <v>153</v>
      </c>
      <c r="K152" s="22" t="str">
        <f t="shared" ca="1" si="29"/>
        <v>C1</v>
      </c>
      <c r="L152" s="22" t="s">
        <v>20</v>
      </c>
    </row>
    <row r="153" spans="2:12" x14ac:dyDescent="0.3">
      <c r="B153" s="22">
        <f t="shared" si="20"/>
        <v>146</v>
      </c>
      <c r="C153" s="11">
        <f t="shared" ca="1" si="21"/>
        <v>44425</v>
      </c>
      <c r="D153" s="22" t="str">
        <f t="shared" ca="1" si="22"/>
        <v>CARRO PEQUENO</v>
      </c>
      <c r="E153" s="22" t="str">
        <f t="shared" ca="1" si="23"/>
        <v>MTPR-8462</v>
      </c>
      <c r="F153" s="20" t="str">
        <f t="shared" ca="1" si="24"/>
        <v>07:01</v>
      </c>
      <c r="G153" s="20" t="str">
        <f t="shared" ca="1" si="25"/>
        <v>12:34</v>
      </c>
      <c r="H153" s="20">
        <f t="shared" ca="1" si="26"/>
        <v>0.23125000000000001</v>
      </c>
      <c r="I153" s="22" t="str">
        <f t="shared" ca="1" si="27"/>
        <v>Dinheiro</v>
      </c>
      <c r="J153" s="17">
        <f t="shared" ca="1" si="28"/>
        <v>66.600000000000009</v>
      </c>
      <c r="K153" s="22" t="str">
        <f t="shared" ca="1" si="29"/>
        <v>C5</v>
      </c>
      <c r="L153" s="22" t="s">
        <v>20</v>
      </c>
    </row>
    <row r="154" spans="2:12" x14ac:dyDescent="0.3">
      <c r="B154" s="22">
        <f t="shared" si="20"/>
        <v>147</v>
      </c>
      <c r="C154" s="11">
        <f t="shared" ca="1" si="21"/>
        <v>44431</v>
      </c>
      <c r="D154" s="22" t="str">
        <f t="shared" ca="1" si="22"/>
        <v>CARRO MÉDIO</v>
      </c>
      <c r="E154" s="22" t="str">
        <f t="shared" ca="1" si="23"/>
        <v>PZYH-2709</v>
      </c>
      <c r="F154" s="20" t="str">
        <f t="shared" ca="1" si="24"/>
        <v>09:51</v>
      </c>
      <c r="G154" s="20" t="str">
        <f t="shared" ca="1" si="25"/>
        <v>12:25</v>
      </c>
      <c r="H154" s="20">
        <f t="shared" ca="1" si="26"/>
        <v>0.1069444444444444</v>
      </c>
      <c r="I154" s="22" t="str">
        <f t="shared" ca="1" si="27"/>
        <v>Dinheiro</v>
      </c>
      <c r="J154" s="17">
        <f t="shared" ca="1" si="28"/>
        <v>38.499999999999986</v>
      </c>
      <c r="K154" s="22" t="str">
        <f t="shared" ca="1" si="29"/>
        <v>A3</v>
      </c>
      <c r="L154" s="22" t="s">
        <v>20</v>
      </c>
    </row>
    <row r="155" spans="2:12" x14ac:dyDescent="0.3">
      <c r="B155" s="22">
        <f t="shared" si="20"/>
        <v>148</v>
      </c>
      <c r="C155" s="11">
        <f t="shared" ca="1" si="21"/>
        <v>44469</v>
      </c>
      <c r="D155" s="22" t="str">
        <f t="shared" ca="1" si="22"/>
        <v>MOTO</v>
      </c>
      <c r="E155" s="22" t="str">
        <f t="shared" ca="1" si="23"/>
        <v>EQOG-3933</v>
      </c>
      <c r="F155" s="20" t="str">
        <f t="shared" ca="1" si="24"/>
        <v>08:40</v>
      </c>
      <c r="G155" s="20" t="str">
        <f t="shared" ca="1" si="25"/>
        <v>12:40</v>
      </c>
      <c r="H155" s="20">
        <f t="shared" ca="1" si="26"/>
        <v>0.16666666666666669</v>
      </c>
      <c r="I155" s="22" t="str">
        <f t="shared" ca="1" si="27"/>
        <v>Dinheiro</v>
      </c>
      <c r="J155" s="17">
        <f t="shared" ca="1" si="28"/>
        <v>36</v>
      </c>
      <c r="K155" s="22" t="str">
        <f t="shared" ca="1" si="29"/>
        <v>B1</v>
      </c>
      <c r="L155" s="22" t="s">
        <v>20</v>
      </c>
    </row>
    <row r="156" spans="2:12" x14ac:dyDescent="0.3">
      <c r="B156" s="22">
        <f t="shared" si="20"/>
        <v>149</v>
      </c>
      <c r="C156" s="11">
        <f t="shared" ca="1" si="21"/>
        <v>44383</v>
      </c>
      <c r="D156" s="22" t="str">
        <f t="shared" ca="1" si="22"/>
        <v>CARRO MÉDIO</v>
      </c>
      <c r="E156" s="22" t="str">
        <f t="shared" ca="1" si="23"/>
        <v>PUWP-5942</v>
      </c>
      <c r="F156" s="20" t="str">
        <f t="shared" ca="1" si="24"/>
        <v>11:59</v>
      </c>
      <c r="G156" s="20" t="str">
        <f t="shared" ca="1" si="25"/>
        <v>13:25</v>
      </c>
      <c r="H156" s="20">
        <f t="shared" ca="1" si="26"/>
        <v>5.9722222222222288E-2</v>
      </c>
      <c r="I156" s="22" t="str">
        <f t="shared" ca="1" si="27"/>
        <v>Cartão</v>
      </c>
      <c r="J156" s="17">
        <f t="shared" ca="1" si="28"/>
        <v>21.500000000000025</v>
      </c>
      <c r="K156" s="22" t="str">
        <f t="shared" ca="1" si="29"/>
        <v>C5</v>
      </c>
      <c r="L156" s="22" t="s">
        <v>20</v>
      </c>
    </row>
    <row r="157" spans="2:12" x14ac:dyDescent="0.3">
      <c r="B157" s="22">
        <f t="shared" si="20"/>
        <v>150</v>
      </c>
      <c r="C157" s="11">
        <f t="shared" ca="1" si="21"/>
        <v>44391</v>
      </c>
      <c r="D157" s="22" t="str">
        <f t="shared" ca="1" si="22"/>
        <v>CARRO MÉDIO</v>
      </c>
      <c r="E157" s="22" t="str">
        <f t="shared" ca="1" si="23"/>
        <v>FABQ-3296</v>
      </c>
      <c r="F157" s="20" t="str">
        <f t="shared" ca="1" si="24"/>
        <v>10:17</v>
      </c>
      <c r="G157" s="20" t="str">
        <f t="shared" ca="1" si="25"/>
        <v>12:56</v>
      </c>
      <c r="H157" s="20">
        <f t="shared" ca="1" si="26"/>
        <v>0.11041666666666666</v>
      </c>
      <c r="I157" s="22" t="str">
        <f t="shared" ca="1" si="27"/>
        <v>Dinheiro</v>
      </c>
      <c r="J157" s="17">
        <f t="shared" ca="1" si="28"/>
        <v>39.75</v>
      </c>
      <c r="K157" s="22" t="str">
        <f t="shared" ca="1" si="29"/>
        <v>C4</v>
      </c>
      <c r="L157" s="22" t="s">
        <v>20</v>
      </c>
    </row>
    <row r="158" spans="2:12" x14ac:dyDescent="0.3">
      <c r="B158" s="22">
        <f t="shared" si="20"/>
        <v>151</v>
      </c>
      <c r="C158" s="11">
        <f t="shared" ca="1" si="21"/>
        <v>44432</v>
      </c>
      <c r="D158" s="22" t="str">
        <f t="shared" ca="1" si="22"/>
        <v>CARRO PEQUENO</v>
      </c>
      <c r="E158" s="22" t="str">
        <f t="shared" ca="1" si="23"/>
        <v>KDMH-6745</v>
      </c>
      <c r="F158" s="20" t="str">
        <f t="shared" ca="1" si="24"/>
        <v>08:45</v>
      </c>
      <c r="G158" s="20" t="str">
        <f t="shared" ca="1" si="25"/>
        <v>12:59</v>
      </c>
      <c r="H158" s="20">
        <f t="shared" ca="1" si="26"/>
        <v>0.17638888888888887</v>
      </c>
      <c r="I158" s="22" t="str">
        <f t="shared" ca="1" si="27"/>
        <v>Cartão</v>
      </c>
      <c r="J158" s="17">
        <f t="shared" ca="1" si="28"/>
        <v>50.79999999999999</v>
      </c>
      <c r="K158" s="22" t="str">
        <f t="shared" ca="1" si="29"/>
        <v>C2</v>
      </c>
      <c r="L158" s="22" t="s">
        <v>20</v>
      </c>
    </row>
    <row r="159" spans="2:12" x14ac:dyDescent="0.3">
      <c r="B159" s="22">
        <f t="shared" si="20"/>
        <v>152</v>
      </c>
      <c r="C159" s="11">
        <f t="shared" ca="1" si="21"/>
        <v>44368</v>
      </c>
      <c r="D159" s="22" t="str">
        <f t="shared" ca="1" si="22"/>
        <v>CARRO MÉDIO</v>
      </c>
      <c r="E159" s="22" t="str">
        <f t="shared" ca="1" si="23"/>
        <v>XNCB-9557</v>
      </c>
      <c r="F159" s="20" t="str">
        <f t="shared" ca="1" si="24"/>
        <v>07:13</v>
      </c>
      <c r="G159" s="20" t="str">
        <f t="shared" ca="1" si="25"/>
        <v>13:02</v>
      </c>
      <c r="H159" s="20">
        <f t="shared" ca="1" si="26"/>
        <v>0.24236111111111108</v>
      </c>
      <c r="I159" s="22" t="str">
        <f t="shared" ca="1" si="27"/>
        <v>Cartão</v>
      </c>
      <c r="J159" s="17">
        <f t="shared" ca="1" si="28"/>
        <v>87.25</v>
      </c>
      <c r="K159" s="22" t="str">
        <f t="shared" ca="1" si="29"/>
        <v>B2</v>
      </c>
      <c r="L159" s="22" t="s">
        <v>20</v>
      </c>
    </row>
    <row r="160" spans="2:12" x14ac:dyDescent="0.3">
      <c r="B160" s="22">
        <f t="shared" si="20"/>
        <v>153</v>
      </c>
      <c r="C160" s="11">
        <f t="shared" ca="1" si="21"/>
        <v>44360</v>
      </c>
      <c r="D160" s="22" t="str">
        <f t="shared" ca="1" si="22"/>
        <v>CARRO GRANDE</v>
      </c>
      <c r="E160" s="22" t="str">
        <f t="shared" ca="1" si="23"/>
        <v>MTUK-6806</v>
      </c>
      <c r="F160" s="20" t="str">
        <f t="shared" ca="1" si="24"/>
        <v>11:57</v>
      </c>
      <c r="G160" s="20" t="str">
        <f t="shared" ca="1" si="25"/>
        <v>12:40</v>
      </c>
      <c r="H160" s="20">
        <f t="shared" ca="1" si="26"/>
        <v>2.9861111111111172E-2</v>
      </c>
      <c r="I160" s="22" t="str">
        <f t="shared" ca="1" si="27"/>
        <v>Dinheiro</v>
      </c>
      <c r="J160" s="17">
        <f t="shared" ca="1" si="28"/>
        <v>14.333333333333362</v>
      </c>
      <c r="K160" s="22" t="str">
        <f t="shared" ca="1" si="29"/>
        <v>C1</v>
      </c>
      <c r="L160" s="22" t="s">
        <v>20</v>
      </c>
    </row>
    <row r="161" spans="2:12" x14ac:dyDescent="0.3">
      <c r="B161" s="22">
        <f t="shared" si="20"/>
        <v>154</v>
      </c>
      <c r="C161" s="11">
        <f t="shared" ca="1" si="21"/>
        <v>44440</v>
      </c>
      <c r="D161" s="22" t="str">
        <f t="shared" ca="1" si="22"/>
        <v>CARRO PEQUENO</v>
      </c>
      <c r="E161" s="22" t="str">
        <f t="shared" ca="1" si="23"/>
        <v>MWOK-2124</v>
      </c>
      <c r="F161" s="20" t="str">
        <f t="shared" ca="1" si="24"/>
        <v>11:38</v>
      </c>
      <c r="G161" s="20" t="str">
        <f t="shared" ca="1" si="25"/>
        <v>13:13</v>
      </c>
      <c r="H161" s="20">
        <f t="shared" ca="1" si="26"/>
        <v>6.5972222222222265E-2</v>
      </c>
      <c r="I161" s="22" t="str">
        <f t="shared" ca="1" si="27"/>
        <v>Cartão</v>
      </c>
      <c r="J161" s="17">
        <f t="shared" ca="1" si="28"/>
        <v>19.000000000000014</v>
      </c>
      <c r="K161" s="22" t="str">
        <f t="shared" ca="1" si="29"/>
        <v>C4</v>
      </c>
      <c r="L161" s="22" t="s">
        <v>20</v>
      </c>
    </row>
    <row r="162" spans="2:12" x14ac:dyDescent="0.3">
      <c r="B162" s="22">
        <f t="shared" si="20"/>
        <v>155</v>
      </c>
      <c r="C162" s="11">
        <f t="shared" ca="1" si="21"/>
        <v>44452</v>
      </c>
      <c r="D162" s="22" t="str">
        <f t="shared" ca="1" si="22"/>
        <v>MOTO</v>
      </c>
      <c r="E162" s="22" t="str">
        <f t="shared" ca="1" si="23"/>
        <v>ZCAM-6046</v>
      </c>
      <c r="F162" s="20" t="str">
        <f t="shared" ca="1" si="24"/>
        <v>08:41</v>
      </c>
      <c r="G162" s="20" t="str">
        <f t="shared" ca="1" si="25"/>
        <v>15:28</v>
      </c>
      <c r="H162" s="20">
        <f t="shared" ca="1" si="26"/>
        <v>0.28263888888888894</v>
      </c>
      <c r="I162" s="22" t="str">
        <f t="shared" ca="1" si="27"/>
        <v>Dinheiro</v>
      </c>
      <c r="J162" s="17">
        <f t="shared" ca="1" si="28"/>
        <v>61.050000000000011</v>
      </c>
      <c r="K162" s="22" t="str">
        <f t="shared" ca="1" si="29"/>
        <v>C2</v>
      </c>
      <c r="L162" s="22" t="s">
        <v>20</v>
      </c>
    </row>
    <row r="163" spans="2:12" x14ac:dyDescent="0.3">
      <c r="B163" s="22">
        <f t="shared" si="20"/>
        <v>156</v>
      </c>
      <c r="C163" s="11">
        <f t="shared" ca="1" si="21"/>
        <v>44351</v>
      </c>
      <c r="D163" s="22" t="str">
        <f t="shared" ca="1" si="22"/>
        <v>CARRO PEQUENO</v>
      </c>
      <c r="E163" s="22" t="str">
        <f t="shared" ca="1" si="23"/>
        <v>DENZ-9330</v>
      </c>
      <c r="F163" s="20" t="str">
        <f t="shared" ca="1" si="24"/>
        <v>10:42</v>
      </c>
      <c r="G163" s="20" t="str">
        <f t="shared" ca="1" si="25"/>
        <v>14:56</v>
      </c>
      <c r="H163" s="20">
        <f t="shared" ca="1" si="26"/>
        <v>0.17638888888888893</v>
      </c>
      <c r="I163" s="22" t="str">
        <f t="shared" ca="1" si="27"/>
        <v>Cartão</v>
      </c>
      <c r="J163" s="17">
        <f t="shared" ca="1" si="28"/>
        <v>50.800000000000011</v>
      </c>
      <c r="K163" s="22" t="str">
        <f t="shared" ca="1" si="29"/>
        <v>A5</v>
      </c>
      <c r="L163" s="22" t="s">
        <v>20</v>
      </c>
    </row>
    <row r="164" spans="2:12" x14ac:dyDescent="0.3">
      <c r="B164" s="22">
        <f t="shared" si="20"/>
        <v>157</v>
      </c>
      <c r="C164" s="11">
        <f t="shared" ca="1" si="21"/>
        <v>44352</v>
      </c>
      <c r="D164" s="22" t="str">
        <f t="shared" ca="1" si="22"/>
        <v>MOTO</v>
      </c>
      <c r="E164" s="22" t="str">
        <f t="shared" ca="1" si="23"/>
        <v>ZBDJ-6243</v>
      </c>
      <c r="F164" s="20" t="str">
        <f t="shared" ca="1" si="24"/>
        <v>10:17</v>
      </c>
      <c r="G164" s="20" t="str">
        <f t="shared" ca="1" si="25"/>
        <v>12:09</v>
      </c>
      <c r="H164" s="20">
        <f t="shared" ca="1" si="26"/>
        <v>7.7777777777777779E-2</v>
      </c>
      <c r="I164" s="22" t="str">
        <f t="shared" ca="1" si="27"/>
        <v>Cartão</v>
      </c>
      <c r="J164" s="17">
        <f t="shared" ca="1" si="28"/>
        <v>16.8</v>
      </c>
      <c r="K164" s="22" t="str">
        <f t="shared" ca="1" si="29"/>
        <v>B4</v>
      </c>
      <c r="L164" s="22" t="s">
        <v>20</v>
      </c>
    </row>
    <row r="165" spans="2:12" x14ac:dyDescent="0.3">
      <c r="B165" s="22">
        <f t="shared" si="20"/>
        <v>158</v>
      </c>
      <c r="C165" s="11">
        <f t="shared" ca="1" si="21"/>
        <v>44413</v>
      </c>
      <c r="D165" s="22" t="str">
        <f t="shared" ca="1" si="22"/>
        <v>CARRO PEQUENO</v>
      </c>
      <c r="E165" s="22" t="str">
        <f t="shared" ca="1" si="23"/>
        <v>YYTU-9286</v>
      </c>
      <c r="F165" s="20" t="str">
        <f t="shared" ca="1" si="24"/>
        <v>07:28</v>
      </c>
      <c r="G165" s="20" t="str">
        <f t="shared" ca="1" si="25"/>
        <v>12:55</v>
      </c>
      <c r="H165" s="20">
        <f t="shared" ca="1" si="26"/>
        <v>0.2270833333333333</v>
      </c>
      <c r="I165" s="22" t="str">
        <f t="shared" ca="1" si="27"/>
        <v>Cartão</v>
      </c>
      <c r="J165" s="17">
        <f t="shared" ca="1" si="28"/>
        <v>65.399999999999991</v>
      </c>
      <c r="K165" s="22" t="str">
        <f t="shared" ca="1" si="29"/>
        <v>B3</v>
      </c>
      <c r="L165" s="22" t="s">
        <v>20</v>
      </c>
    </row>
    <row r="166" spans="2:12" x14ac:dyDescent="0.3">
      <c r="B166" s="22">
        <f t="shared" si="20"/>
        <v>159</v>
      </c>
      <c r="C166" s="11">
        <f t="shared" ca="1" si="21"/>
        <v>44380</v>
      </c>
      <c r="D166" s="22" t="str">
        <f t="shared" ca="1" si="22"/>
        <v>CARRO GRANDE</v>
      </c>
      <c r="E166" s="22" t="str">
        <f t="shared" ca="1" si="23"/>
        <v>PCYV-8043</v>
      </c>
      <c r="F166" s="20" t="str">
        <f t="shared" ca="1" si="24"/>
        <v>07:17</v>
      </c>
      <c r="G166" s="20" t="str">
        <f t="shared" ca="1" si="25"/>
        <v>12:55</v>
      </c>
      <c r="H166" s="20">
        <f t="shared" ca="1" si="26"/>
        <v>0.23472222222222222</v>
      </c>
      <c r="I166" s="22" t="str">
        <f t="shared" ca="1" si="27"/>
        <v>Cartão</v>
      </c>
      <c r="J166" s="17">
        <f t="shared" ca="1" si="28"/>
        <v>112.66666666666666</v>
      </c>
      <c r="K166" s="22" t="str">
        <f t="shared" ca="1" si="29"/>
        <v>B4</v>
      </c>
      <c r="L166" s="22" t="s">
        <v>20</v>
      </c>
    </row>
    <row r="167" spans="2:12" x14ac:dyDescent="0.3">
      <c r="B167" s="22">
        <f t="shared" si="20"/>
        <v>160</v>
      </c>
      <c r="C167" s="11">
        <f t="shared" ca="1" si="21"/>
        <v>44418</v>
      </c>
      <c r="D167" s="22" t="str">
        <f t="shared" ca="1" si="22"/>
        <v>CARRO GRANDE</v>
      </c>
      <c r="E167" s="22" t="str">
        <f t="shared" ca="1" si="23"/>
        <v>HJDU-5621</v>
      </c>
      <c r="F167" s="20" t="str">
        <f t="shared" ca="1" si="24"/>
        <v>09:27</v>
      </c>
      <c r="G167" s="20" t="str">
        <f t="shared" ca="1" si="25"/>
        <v>12:31</v>
      </c>
      <c r="H167" s="20">
        <f t="shared" ca="1" si="26"/>
        <v>0.12777777777777782</v>
      </c>
      <c r="I167" s="22" t="str">
        <f t="shared" ca="1" si="27"/>
        <v>Dinheiro</v>
      </c>
      <c r="J167" s="17">
        <f t="shared" ca="1" si="28"/>
        <v>61.333333333333357</v>
      </c>
      <c r="K167" s="22" t="str">
        <f t="shared" ca="1" si="29"/>
        <v>B1</v>
      </c>
      <c r="L167" s="22" t="s">
        <v>20</v>
      </c>
    </row>
    <row r="168" spans="2:12" x14ac:dyDescent="0.3">
      <c r="B168" s="22">
        <f t="shared" si="20"/>
        <v>161</v>
      </c>
      <c r="C168" s="11">
        <f t="shared" ca="1" si="21"/>
        <v>44362</v>
      </c>
      <c r="D168" s="22" t="str">
        <f t="shared" ca="1" si="22"/>
        <v>CARRO PEQUENO</v>
      </c>
      <c r="E168" s="22" t="str">
        <f t="shared" ca="1" si="23"/>
        <v>OEGI-2096</v>
      </c>
      <c r="F168" s="20" t="str">
        <f t="shared" ca="1" si="24"/>
        <v>10:54</v>
      </c>
      <c r="G168" s="20" t="str">
        <f t="shared" ca="1" si="25"/>
        <v>12:02</v>
      </c>
      <c r="H168" s="20">
        <f t="shared" ca="1" si="26"/>
        <v>4.7222222222222221E-2</v>
      </c>
      <c r="I168" s="22" t="str">
        <f t="shared" ca="1" si="27"/>
        <v>Dinheiro</v>
      </c>
      <c r="J168" s="17">
        <f t="shared" ca="1" si="28"/>
        <v>13.6</v>
      </c>
      <c r="K168" s="22" t="str">
        <f t="shared" ca="1" si="29"/>
        <v>C1</v>
      </c>
      <c r="L168" s="22" t="s">
        <v>20</v>
      </c>
    </row>
    <row r="169" spans="2:12" x14ac:dyDescent="0.3">
      <c r="B169" s="22">
        <f t="shared" si="20"/>
        <v>162</v>
      </c>
      <c r="C169" s="11">
        <f t="shared" ca="1" si="21"/>
        <v>44400</v>
      </c>
      <c r="D169" s="22" t="str">
        <f t="shared" ca="1" si="22"/>
        <v>MOTO</v>
      </c>
      <c r="E169" s="22" t="str">
        <f t="shared" ca="1" si="23"/>
        <v>MDWR-9059</v>
      </c>
      <c r="F169" s="20" t="str">
        <f t="shared" ca="1" si="24"/>
        <v>09:07</v>
      </c>
      <c r="G169" s="20" t="str">
        <f t="shared" ca="1" si="25"/>
        <v>13:07</v>
      </c>
      <c r="H169" s="20">
        <f t="shared" ca="1" si="26"/>
        <v>0.16666666666666669</v>
      </c>
      <c r="I169" s="22" t="str">
        <f t="shared" ca="1" si="27"/>
        <v>Dinheiro</v>
      </c>
      <c r="J169" s="17">
        <f t="shared" ca="1" si="28"/>
        <v>36</v>
      </c>
      <c r="K169" s="22" t="str">
        <f t="shared" ca="1" si="29"/>
        <v>A4</v>
      </c>
      <c r="L169" s="22" t="s">
        <v>20</v>
      </c>
    </row>
    <row r="170" spans="2:12" x14ac:dyDescent="0.3">
      <c r="B170" s="22">
        <f t="shared" si="20"/>
        <v>163</v>
      </c>
      <c r="C170" s="11">
        <f t="shared" ca="1" si="21"/>
        <v>44470</v>
      </c>
      <c r="D170" s="22" t="str">
        <f t="shared" ca="1" si="22"/>
        <v>CARRO MÉDIO</v>
      </c>
      <c r="E170" s="22" t="str">
        <f t="shared" ca="1" si="23"/>
        <v>AGYL-2118</v>
      </c>
      <c r="F170" s="20" t="str">
        <f t="shared" ca="1" si="24"/>
        <v>08:15</v>
      </c>
      <c r="G170" s="20" t="str">
        <f t="shared" ca="1" si="25"/>
        <v>14:09</v>
      </c>
      <c r="H170" s="20">
        <f t="shared" ca="1" si="26"/>
        <v>0.24583333333333335</v>
      </c>
      <c r="I170" s="22" t="str">
        <f t="shared" ca="1" si="27"/>
        <v>Cartão</v>
      </c>
      <c r="J170" s="17">
        <f t="shared" ca="1" si="28"/>
        <v>88.5</v>
      </c>
      <c r="K170" s="22" t="str">
        <f t="shared" ca="1" si="29"/>
        <v>B2</v>
      </c>
      <c r="L170" s="22" t="s">
        <v>20</v>
      </c>
    </row>
    <row r="171" spans="2:12" x14ac:dyDescent="0.3">
      <c r="B171" s="22">
        <f t="shared" si="20"/>
        <v>164</v>
      </c>
      <c r="C171" s="11">
        <f t="shared" ca="1" si="21"/>
        <v>44466</v>
      </c>
      <c r="D171" s="22" t="str">
        <f t="shared" ca="1" si="22"/>
        <v>MOTO</v>
      </c>
      <c r="E171" s="22" t="str">
        <f t="shared" ca="1" si="23"/>
        <v>WWGR-5517</v>
      </c>
      <c r="F171" s="20" t="str">
        <f t="shared" ca="1" si="24"/>
        <v>11:54</v>
      </c>
      <c r="G171" s="20" t="str">
        <f t="shared" ca="1" si="25"/>
        <v>14:32</v>
      </c>
      <c r="H171" s="20">
        <f t="shared" ca="1" si="26"/>
        <v>0.10972222222222217</v>
      </c>
      <c r="I171" s="22" t="str">
        <f t="shared" ca="1" si="27"/>
        <v>Dinheiro</v>
      </c>
      <c r="J171" s="17">
        <f t="shared" ca="1" si="28"/>
        <v>23.699999999999989</v>
      </c>
      <c r="K171" s="22" t="str">
        <f t="shared" ca="1" si="29"/>
        <v>B5</v>
      </c>
      <c r="L171" s="22" t="s">
        <v>20</v>
      </c>
    </row>
    <row r="172" spans="2:12" x14ac:dyDescent="0.3">
      <c r="B172" s="22">
        <f t="shared" si="20"/>
        <v>165</v>
      </c>
      <c r="C172" s="11">
        <f t="shared" ca="1" si="21"/>
        <v>44406</v>
      </c>
      <c r="D172" s="22" t="str">
        <f t="shared" ca="1" si="22"/>
        <v>CARRO MÉDIO</v>
      </c>
      <c r="E172" s="22" t="str">
        <f t="shared" ca="1" si="23"/>
        <v>LKZF-3287</v>
      </c>
      <c r="F172" s="20" t="str">
        <f t="shared" ca="1" si="24"/>
        <v>10:18</v>
      </c>
      <c r="G172" s="20" t="str">
        <f t="shared" ca="1" si="25"/>
        <v>12:58</v>
      </c>
      <c r="H172" s="20">
        <f t="shared" ca="1" si="26"/>
        <v>0.11111111111111105</v>
      </c>
      <c r="I172" s="22" t="str">
        <f t="shared" ca="1" si="27"/>
        <v>Dinheiro</v>
      </c>
      <c r="J172" s="17">
        <f t="shared" ca="1" si="28"/>
        <v>39.999999999999979</v>
      </c>
      <c r="K172" s="22" t="str">
        <f t="shared" ca="1" si="29"/>
        <v>C3</v>
      </c>
      <c r="L172" s="22" t="s">
        <v>20</v>
      </c>
    </row>
    <row r="173" spans="2:12" x14ac:dyDescent="0.3">
      <c r="B173" s="22">
        <f t="shared" si="20"/>
        <v>166</v>
      </c>
      <c r="C173" s="11">
        <f t="shared" ca="1" si="21"/>
        <v>44444</v>
      </c>
      <c r="D173" s="22" t="str">
        <f t="shared" ca="1" si="22"/>
        <v>CARRO GRANDE</v>
      </c>
      <c r="E173" s="22" t="str">
        <f t="shared" ca="1" si="23"/>
        <v>XSWS-7886</v>
      </c>
      <c r="F173" s="20" t="str">
        <f t="shared" ca="1" si="24"/>
        <v>09:54</v>
      </c>
      <c r="G173" s="20" t="str">
        <f t="shared" ca="1" si="25"/>
        <v>14:36</v>
      </c>
      <c r="H173" s="20">
        <f t="shared" ca="1" si="26"/>
        <v>0.19583333333333325</v>
      </c>
      <c r="I173" s="22" t="str">
        <f t="shared" ca="1" si="27"/>
        <v>Dinheiro</v>
      </c>
      <c r="J173" s="17">
        <f t="shared" ca="1" si="28"/>
        <v>93.999999999999943</v>
      </c>
      <c r="K173" s="22" t="str">
        <f t="shared" ca="1" si="29"/>
        <v>B1</v>
      </c>
      <c r="L173" s="22" t="s">
        <v>20</v>
      </c>
    </row>
    <row r="174" spans="2:12" x14ac:dyDescent="0.3">
      <c r="B174" s="22">
        <f t="shared" si="20"/>
        <v>167</v>
      </c>
      <c r="C174" s="11">
        <f t="shared" ca="1" si="21"/>
        <v>44469</v>
      </c>
      <c r="D174" s="22" t="str">
        <f t="shared" ca="1" si="22"/>
        <v>CARRO MÉDIO</v>
      </c>
      <c r="E174" s="22" t="str">
        <f t="shared" ca="1" si="23"/>
        <v>BKTK-5907</v>
      </c>
      <c r="F174" s="20" t="str">
        <f t="shared" ca="1" si="24"/>
        <v>10:49</v>
      </c>
      <c r="G174" s="20" t="str">
        <f t="shared" ca="1" si="25"/>
        <v>13:55</v>
      </c>
      <c r="H174" s="20">
        <f t="shared" ca="1" si="26"/>
        <v>0.1291666666666666</v>
      </c>
      <c r="I174" s="22" t="str">
        <f t="shared" ca="1" si="27"/>
        <v>Dinheiro</v>
      </c>
      <c r="J174" s="17">
        <f t="shared" ca="1" si="28"/>
        <v>46.499999999999972</v>
      </c>
      <c r="K174" s="22" t="str">
        <f t="shared" ca="1" si="29"/>
        <v>A5</v>
      </c>
      <c r="L174" s="22" t="s">
        <v>20</v>
      </c>
    </row>
    <row r="175" spans="2:12" x14ac:dyDescent="0.3">
      <c r="B175" s="22">
        <f t="shared" si="20"/>
        <v>168</v>
      </c>
      <c r="C175" s="11">
        <f t="shared" ca="1" si="21"/>
        <v>44348</v>
      </c>
      <c r="D175" s="22" t="str">
        <f t="shared" ca="1" si="22"/>
        <v>MOTO</v>
      </c>
      <c r="E175" s="22" t="str">
        <f t="shared" ca="1" si="23"/>
        <v>GYTT-1918</v>
      </c>
      <c r="F175" s="20" t="str">
        <f t="shared" ca="1" si="24"/>
        <v>07:21</v>
      </c>
      <c r="G175" s="20" t="str">
        <f t="shared" ca="1" si="25"/>
        <v>14:07</v>
      </c>
      <c r="H175" s="20">
        <f t="shared" ca="1" si="26"/>
        <v>0.2819444444444445</v>
      </c>
      <c r="I175" s="22" t="str">
        <f t="shared" ca="1" si="27"/>
        <v>Cartão</v>
      </c>
      <c r="J175" s="17">
        <f t="shared" ca="1" si="28"/>
        <v>60.900000000000006</v>
      </c>
      <c r="K175" s="22" t="str">
        <f t="shared" ca="1" si="29"/>
        <v>C3</v>
      </c>
      <c r="L175" s="22" t="s">
        <v>20</v>
      </c>
    </row>
    <row r="176" spans="2:12" x14ac:dyDescent="0.3">
      <c r="B176" s="22">
        <f t="shared" si="20"/>
        <v>169</v>
      </c>
      <c r="C176" s="11">
        <f t="shared" ca="1" si="21"/>
        <v>44462</v>
      </c>
      <c r="D176" s="22" t="str">
        <f t="shared" ca="1" si="22"/>
        <v>CARRO PEQUENO</v>
      </c>
      <c r="E176" s="22" t="str">
        <f t="shared" ca="1" si="23"/>
        <v>AJQG-7441</v>
      </c>
      <c r="F176" s="20" t="str">
        <f t="shared" ca="1" si="24"/>
        <v>09:33</v>
      </c>
      <c r="G176" s="20" t="str">
        <f t="shared" ca="1" si="25"/>
        <v>14:28</v>
      </c>
      <c r="H176" s="20">
        <f t="shared" ca="1" si="26"/>
        <v>0.20486111111111105</v>
      </c>
      <c r="I176" s="22" t="str">
        <f t="shared" ca="1" si="27"/>
        <v>Cartão</v>
      </c>
      <c r="J176" s="17">
        <f t="shared" ca="1" si="28"/>
        <v>58.999999999999986</v>
      </c>
      <c r="K176" s="22" t="str">
        <f t="shared" ca="1" si="29"/>
        <v>A4</v>
      </c>
      <c r="L176" s="22" t="s">
        <v>20</v>
      </c>
    </row>
    <row r="177" spans="2:12" x14ac:dyDescent="0.3">
      <c r="B177" s="22">
        <f t="shared" si="20"/>
        <v>170</v>
      </c>
      <c r="C177" s="11">
        <f t="shared" ca="1" si="21"/>
        <v>44432</v>
      </c>
      <c r="D177" s="22" t="str">
        <f t="shared" ca="1" si="22"/>
        <v>CARRO PEQUENO</v>
      </c>
      <c r="E177" s="22" t="str">
        <f t="shared" ca="1" si="23"/>
        <v>UCWH-1304</v>
      </c>
      <c r="F177" s="20" t="str">
        <f t="shared" ca="1" si="24"/>
        <v>09:03</v>
      </c>
      <c r="G177" s="20" t="str">
        <f t="shared" ca="1" si="25"/>
        <v>15:39</v>
      </c>
      <c r="H177" s="20">
        <f t="shared" ca="1" si="26"/>
        <v>0.27499999999999997</v>
      </c>
      <c r="I177" s="22" t="str">
        <f t="shared" ca="1" si="27"/>
        <v>Cartão</v>
      </c>
      <c r="J177" s="17">
        <f t="shared" ca="1" si="28"/>
        <v>79.199999999999989</v>
      </c>
      <c r="K177" s="22" t="str">
        <f t="shared" ca="1" si="29"/>
        <v>B3</v>
      </c>
      <c r="L177" s="22" t="s">
        <v>20</v>
      </c>
    </row>
    <row r="178" spans="2:12" x14ac:dyDescent="0.3">
      <c r="B178" s="22">
        <f t="shared" si="20"/>
        <v>171</v>
      </c>
      <c r="C178" s="11">
        <f t="shared" ca="1" si="21"/>
        <v>44469</v>
      </c>
      <c r="D178" s="22" t="str">
        <f t="shared" ca="1" si="22"/>
        <v>CARRO MÉDIO</v>
      </c>
      <c r="E178" s="22" t="str">
        <f t="shared" ca="1" si="23"/>
        <v>MEDL-1425</v>
      </c>
      <c r="F178" s="20" t="str">
        <f t="shared" ca="1" si="24"/>
        <v>11:55</v>
      </c>
      <c r="G178" s="20" t="str">
        <f t="shared" ca="1" si="25"/>
        <v>13:13</v>
      </c>
      <c r="H178" s="20">
        <f t="shared" ca="1" si="26"/>
        <v>5.4166666666666752E-2</v>
      </c>
      <c r="I178" s="22" t="str">
        <f t="shared" ca="1" si="27"/>
        <v>Cartão</v>
      </c>
      <c r="J178" s="17">
        <f t="shared" ca="1" si="28"/>
        <v>19.500000000000032</v>
      </c>
      <c r="K178" s="22" t="str">
        <f t="shared" ca="1" si="29"/>
        <v>B5</v>
      </c>
      <c r="L178" s="22" t="s">
        <v>20</v>
      </c>
    </row>
    <row r="179" spans="2:12" x14ac:dyDescent="0.3">
      <c r="B179" s="22">
        <f t="shared" si="20"/>
        <v>172</v>
      </c>
      <c r="C179" s="11">
        <f t="shared" ca="1" si="21"/>
        <v>44357</v>
      </c>
      <c r="D179" s="22" t="str">
        <f t="shared" ca="1" si="22"/>
        <v>CARRO GRANDE</v>
      </c>
      <c r="E179" s="22" t="str">
        <f t="shared" ca="1" si="23"/>
        <v>RHTU-2586</v>
      </c>
      <c r="F179" s="20" t="str">
        <f t="shared" ca="1" si="24"/>
        <v>11:42</v>
      </c>
      <c r="G179" s="20" t="str">
        <f t="shared" ca="1" si="25"/>
        <v>13:27</v>
      </c>
      <c r="H179" s="20">
        <f t="shared" ca="1" si="26"/>
        <v>7.2916666666666685E-2</v>
      </c>
      <c r="I179" s="22" t="str">
        <f t="shared" ca="1" si="27"/>
        <v>Cartão</v>
      </c>
      <c r="J179" s="17">
        <f t="shared" ca="1" si="28"/>
        <v>35.000000000000007</v>
      </c>
      <c r="K179" s="22" t="str">
        <f t="shared" ca="1" si="29"/>
        <v>B2</v>
      </c>
      <c r="L179" s="22" t="s">
        <v>20</v>
      </c>
    </row>
    <row r="180" spans="2:12" x14ac:dyDescent="0.3">
      <c r="B180" s="22">
        <f t="shared" si="20"/>
        <v>173</v>
      </c>
      <c r="C180" s="11">
        <f t="shared" ca="1" si="21"/>
        <v>44387</v>
      </c>
      <c r="D180" s="22" t="str">
        <f t="shared" ca="1" si="22"/>
        <v>CARRO MÉDIO</v>
      </c>
      <c r="E180" s="22" t="str">
        <f t="shared" ca="1" si="23"/>
        <v>HIXX-5148</v>
      </c>
      <c r="F180" s="20" t="str">
        <f t="shared" ca="1" si="24"/>
        <v>08:09</v>
      </c>
      <c r="G180" s="20" t="str">
        <f t="shared" ca="1" si="25"/>
        <v>13:50</v>
      </c>
      <c r="H180" s="20">
        <f t="shared" ca="1" si="26"/>
        <v>0.2368055555555556</v>
      </c>
      <c r="I180" s="22" t="str">
        <f t="shared" ca="1" si="27"/>
        <v>Cartão</v>
      </c>
      <c r="J180" s="17">
        <f t="shared" ca="1" si="28"/>
        <v>85.250000000000014</v>
      </c>
      <c r="K180" s="22" t="str">
        <f t="shared" ca="1" si="29"/>
        <v>A2</v>
      </c>
      <c r="L180" s="22" t="s">
        <v>20</v>
      </c>
    </row>
    <row r="181" spans="2:12" x14ac:dyDescent="0.3">
      <c r="B181" s="22">
        <f t="shared" si="20"/>
        <v>174</v>
      </c>
      <c r="C181" s="11">
        <f t="shared" ca="1" si="21"/>
        <v>44362</v>
      </c>
      <c r="D181" s="22" t="str">
        <f t="shared" ca="1" si="22"/>
        <v>CARRO MÉDIO</v>
      </c>
      <c r="E181" s="22" t="str">
        <f t="shared" ca="1" si="23"/>
        <v>SFSU-2738</v>
      </c>
      <c r="F181" s="20" t="str">
        <f t="shared" ca="1" si="24"/>
        <v>09:05</v>
      </c>
      <c r="G181" s="20" t="str">
        <f t="shared" ca="1" si="25"/>
        <v>14:55</v>
      </c>
      <c r="H181" s="20">
        <f t="shared" ca="1" si="26"/>
        <v>0.24305555555555552</v>
      </c>
      <c r="I181" s="22" t="str">
        <f t="shared" ca="1" si="27"/>
        <v>Dinheiro</v>
      </c>
      <c r="J181" s="17">
        <f t="shared" ca="1" si="28"/>
        <v>87.499999999999986</v>
      </c>
      <c r="K181" s="22" t="str">
        <f t="shared" ca="1" si="29"/>
        <v>C1</v>
      </c>
      <c r="L181" s="22" t="s">
        <v>20</v>
      </c>
    </row>
    <row r="182" spans="2:12" x14ac:dyDescent="0.3">
      <c r="B182" s="22">
        <f t="shared" si="20"/>
        <v>175</v>
      </c>
      <c r="C182" s="11">
        <f t="shared" ca="1" si="21"/>
        <v>44386</v>
      </c>
      <c r="D182" s="22" t="str">
        <f t="shared" ca="1" si="22"/>
        <v>CARRO GRANDE</v>
      </c>
      <c r="E182" s="22" t="str">
        <f t="shared" ca="1" si="23"/>
        <v>EHFU-2098</v>
      </c>
      <c r="F182" s="20" t="str">
        <f t="shared" ca="1" si="24"/>
        <v>09:13</v>
      </c>
      <c r="G182" s="20" t="str">
        <f t="shared" ca="1" si="25"/>
        <v>15:47</v>
      </c>
      <c r="H182" s="20">
        <f t="shared" ca="1" si="26"/>
        <v>0.27361111111111108</v>
      </c>
      <c r="I182" s="22" t="str">
        <f t="shared" ca="1" si="27"/>
        <v>Cartão</v>
      </c>
      <c r="J182" s="17">
        <f t="shared" ca="1" si="28"/>
        <v>131.33333333333331</v>
      </c>
      <c r="K182" s="22" t="str">
        <f t="shared" ca="1" si="29"/>
        <v>C4</v>
      </c>
      <c r="L182" s="22" t="s">
        <v>20</v>
      </c>
    </row>
    <row r="183" spans="2:12" x14ac:dyDescent="0.3">
      <c r="B183" s="22">
        <f t="shared" si="20"/>
        <v>176</v>
      </c>
      <c r="C183" s="11">
        <f t="shared" ca="1" si="21"/>
        <v>44370</v>
      </c>
      <c r="D183" s="22" t="str">
        <f t="shared" ca="1" si="22"/>
        <v>CARRO MÉDIO</v>
      </c>
      <c r="E183" s="22" t="str">
        <f t="shared" ca="1" si="23"/>
        <v>DSXL-5438</v>
      </c>
      <c r="F183" s="20" t="str">
        <f t="shared" ca="1" si="24"/>
        <v>09:33</v>
      </c>
      <c r="G183" s="20" t="str">
        <f t="shared" ca="1" si="25"/>
        <v>14:28</v>
      </c>
      <c r="H183" s="20">
        <f t="shared" ca="1" si="26"/>
        <v>0.20486111111111105</v>
      </c>
      <c r="I183" s="22" t="str">
        <f t="shared" ca="1" si="27"/>
        <v>Cartão</v>
      </c>
      <c r="J183" s="17">
        <f t="shared" ca="1" si="28"/>
        <v>73.749999999999972</v>
      </c>
      <c r="K183" s="22" t="str">
        <f t="shared" ca="1" si="29"/>
        <v>A5</v>
      </c>
      <c r="L183" s="22" t="s">
        <v>20</v>
      </c>
    </row>
    <row r="184" spans="2:12" x14ac:dyDescent="0.3">
      <c r="B184" s="22">
        <f t="shared" si="20"/>
        <v>177</v>
      </c>
      <c r="C184" s="11">
        <f t="shared" ca="1" si="21"/>
        <v>44418</v>
      </c>
      <c r="D184" s="22" t="str">
        <f t="shared" ca="1" si="22"/>
        <v>CARRO MÉDIO</v>
      </c>
      <c r="E184" s="22" t="str">
        <f t="shared" ca="1" si="23"/>
        <v>FOPI-1963</v>
      </c>
      <c r="F184" s="20" t="str">
        <f t="shared" ca="1" si="24"/>
        <v>07:09</v>
      </c>
      <c r="G184" s="20" t="str">
        <f t="shared" ca="1" si="25"/>
        <v>13:08</v>
      </c>
      <c r="H184" s="20">
        <f t="shared" ca="1" si="26"/>
        <v>0.2493055555555555</v>
      </c>
      <c r="I184" s="22" t="str">
        <f t="shared" ca="1" si="27"/>
        <v>Dinheiro</v>
      </c>
      <c r="J184" s="17">
        <f t="shared" ca="1" si="28"/>
        <v>89.749999999999986</v>
      </c>
      <c r="K184" s="22" t="str">
        <f t="shared" ca="1" si="29"/>
        <v>C4</v>
      </c>
      <c r="L184" s="22" t="s">
        <v>20</v>
      </c>
    </row>
    <row r="185" spans="2:12" x14ac:dyDescent="0.3">
      <c r="B185" s="22">
        <f t="shared" si="20"/>
        <v>178</v>
      </c>
      <c r="C185" s="11">
        <f t="shared" ca="1" si="21"/>
        <v>44349</v>
      </c>
      <c r="D185" s="22" t="str">
        <f t="shared" ca="1" si="22"/>
        <v>MOTO</v>
      </c>
      <c r="E185" s="22" t="str">
        <f t="shared" ca="1" si="23"/>
        <v>NFFB-5445</v>
      </c>
      <c r="F185" s="20" t="str">
        <f t="shared" ca="1" si="24"/>
        <v>08:28</v>
      </c>
      <c r="G185" s="20" t="str">
        <f t="shared" ca="1" si="25"/>
        <v>14:53</v>
      </c>
      <c r="H185" s="20">
        <f t="shared" ca="1" si="26"/>
        <v>0.2673611111111111</v>
      </c>
      <c r="I185" s="22" t="str">
        <f t="shared" ca="1" si="27"/>
        <v>Cartão</v>
      </c>
      <c r="J185" s="17">
        <f t="shared" ca="1" si="28"/>
        <v>57.749999999999993</v>
      </c>
      <c r="K185" s="22" t="str">
        <f t="shared" ca="1" si="29"/>
        <v>C5</v>
      </c>
      <c r="L185" s="22" t="s">
        <v>20</v>
      </c>
    </row>
    <row r="186" spans="2:12" x14ac:dyDescent="0.3">
      <c r="B186" s="22">
        <f t="shared" si="20"/>
        <v>179</v>
      </c>
      <c r="C186" s="11">
        <f t="shared" ca="1" si="21"/>
        <v>44406</v>
      </c>
      <c r="D186" s="22" t="str">
        <f t="shared" ca="1" si="22"/>
        <v>CARRO PEQUENO</v>
      </c>
      <c r="E186" s="22" t="str">
        <f t="shared" ca="1" si="23"/>
        <v>LCUO-3115</v>
      </c>
      <c r="F186" s="20" t="str">
        <f t="shared" ca="1" si="24"/>
        <v>11:45</v>
      </c>
      <c r="G186" s="20" t="str">
        <f t="shared" ca="1" si="25"/>
        <v>15:32</v>
      </c>
      <c r="H186" s="20">
        <f t="shared" ca="1" si="26"/>
        <v>0.15763888888888894</v>
      </c>
      <c r="I186" s="22" t="str">
        <f t="shared" ca="1" si="27"/>
        <v>Cartão</v>
      </c>
      <c r="J186" s="17">
        <f t="shared" ca="1" si="28"/>
        <v>45.400000000000013</v>
      </c>
      <c r="K186" s="22" t="str">
        <f t="shared" ca="1" si="29"/>
        <v>B1</v>
      </c>
      <c r="L186" s="22" t="s">
        <v>20</v>
      </c>
    </row>
    <row r="187" spans="2:12" x14ac:dyDescent="0.3">
      <c r="B187" s="22">
        <f t="shared" si="20"/>
        <v>180</v>
      </c>
      <c r="C187" s="11">
        <f t="shared" ca="1" si="21"/>
        <v>44356</v>
      </c>
      <c r="D187" s="22" t="str">
        <f t="shared" ca="1" si="22"/>
        <v>CARRO GRANDE</v>
      </c>
      <c r="E187" s="22" t="str">
        <f t="shared" ca="1" si="23"/>
        <v>EQOQ-4250</v>
      </c>
      <c r="F187" s="20" t="str">
        <f t="shared" ca="1" si="24"/>
        <v>08:29</v>
      </c>
      <c r="G187" s="20" t="str">
        <f t="shared" ca="1" si="25"/>
        <v>14:44</v>
      </c>
      <c r="H187" s="20">
        <f t="shared" ca="1" si="26"/>
        <v>0.26041666666666663</v>
      </c>
      <c r="I187" s="22" t="str">
        <f t="shared" ca="1" si="27"/>
        <v>Dinheiro</v>
      </c>
      <c r="J187" s="17">
        <f t="shared" ca="1" si="28"/>
        <v>124.99999999999999</v>
      </c>
      <c r="K187" s="22" t="str">
        <f t="shared" ca="1" si="29"/>
        <v>C3</v>
      </c>
      <c r="L187" s="22" t="s">
        <v>20</v>
      </c>
    </row>
    <row r="188" spans="2:12" x14ac:dyDescent="0.3">
      <c r="B188" s="22">
        <f t="shared" si="20"/>
        <v>181</v>
      </c>
      <c r="C188" s="11">
        <f t="shared" ca="1" si="21"/>
        <v>44421</v>
      </c>
      <c r="D188" s="22" t="str">
        <f t="shared" ca="1" si="22"/>
        <v>CARRO GRANDE</v>
      </c>
      <c r="E188" s="22" t="str">
        <f t="shared" ca="1" si="23"/>
        <v>XCIY-3458</v>
      </c>
      <c r="F188" s="20" t="str">
        <f t="shared" ca="1" si="24"/>
        <v>09:47</v>
      </c>
      <c r="G188" s="20" t="str">
        <f t="shared" ca="1" si="25"/>
        <v>12:47</v>
      </c>
      <c r="H188" s="20">
        <f t="shared" ca="1" si="26"/>
        <v>0.125</v>
      </c>
      <c r="I188" s="22" t="str">
        <f t="shared" ca="1" si="27"/>
        <v>Cartão</v>
      </c>
      <c r="J188" s="17">
        <f t="shared" ca="1" si="28"/>
        <v>60</v>
      </c>
      <c r="K188" s="22" t="str">
        <f t="shared" ca="1" si="29"/>
        <v>C1</v>
      </c>
      <c r="L188" s="22" t="s">
        <v>20</v>
      </c>
    </row>
    <row r="189" spans="2:12" x14ac:dyDescent="0.3">
      <c r="B189" s="22">
        <f t="shared" si="20"/>
        <v>182</v>
      </c>
      <c r="C189" s="11">
        <f t="shared" ca="1" si="21"/>
        <v>44443</v>
      </c>
      <c r="D189" s="22" t="str">
        <f t="shared" ca="1" si="22"/>
        <v>MOTO</v>
      </c>
      <c r="E189" s="22" t="str">
        <f t="shared" ca="1" si="23"/>
        <v>WOYA-4054</v>
      </c>
      <c r="F189" s="20" t="str">
        <f t="shared" ca="1" si="24"/>
        <v>10:45</v>
      </c>
      <c r="G189" s="20" t="str">
        <f t="shared" ca="1" si="25"/>
        <v>12:50</v>
      </c>
      <c r="H189" s="20">
        <f t="shared" ca="1" si="26"/>
        <v>8.6805555555555525E-2</v>
      </c>
      <c r="I189" s="22" t="str">
        <f t="shared" ca="1" si="27"/>
        <v>Cartão</v>
      </c>
      <c r="J189" s="17">
        <f t="shared" ca="1" si="28"/>
        <v>18.749999999999993</v>
      </c>
      <c r="K189" s="22" t="str">
        <f t="shared" ca="1" si="29"/>
        <v>B1</v>
      </c>
      <c r="L189" s="22" t="s">
        <v>20</v>
      </c>
    </row>
    <row r="190" spans="2:12" x14ac:dyDescent="0.3">
      <c r="B190" s="22">
        <f t="shared" si="20"/>
        <v>183</v>
      </c>
      <c r="C190" s="11">
        <f t="shared" ca="1" si="21"/>
        <v>44379</v>
      </c>
      <c r="D190" s="22" t="str">
        <f t="shared" ca="1" si="22"/>
        <v>MOTO</v>
      </c>
      <c r="E190" s="22" t="str">
        <f t="shared" ca="1" si="23"/>
        <v>NVKS-1545</v>
      </c>
      <c r="F190" s="20" t="str">
        <f t="shared" ca="1" si="24"/>
        <v>09:56</v>
      </c>
      <c r="G190" s="20" t="str">
        <f t="shared" ca="1" si="25"/>
        <v>12:22</v>
      </c>
      <c r="H190" s="20">
        <f t="shared" ca="1" si="26"/>
        <v>0.10138888888888892</v>
      </c>
      <c r="I190" s="22" t="str">
        <f t="shared" ca="1" si="27"/>
        <v>Dinheiro</v>
      </c>
      <c r="J190" s="17">
        <f t="shared" ca="1" si="28"/>
        <v>21.900000000000006</v>
      </c>
      <c r="K190" s="22" t="str">
        <f t="shared" ca="1" si="29"/>
        <v>C4</v>
      </c>
      <c r="L190" s="22" t="s">
        <v>20</v>
      </c>
    </row>
    <row r="191" spans="2:12" x14ac:dyDescent="0.3">
      <c r="B191" s="22">
        <f t="shared" si="20"/>
        <v>184</v>
      </c>
      <c r="C191" s="11">
        <f t="shared" ca="1" si="21"/>
        <v>44351</v>
      </c>
      <c r="D191" s="22" t="str">
        <f t="shared" ca="1" si="22"/>
        <v>CARRO GRANDE</v>
      </c>
      <c r="E191" s="22" t="str">
        <f t="shared" ca="1" si="23"/>
        <v>DZQU-1143</v>
      </c>
      <c r="F191" s="20" t="str">
        <f t="shared" ca="1" si="24"/>
        <v>07:22</v>
      </c>
      <c r="G191" s="20" t="str">
        <f t="shared" ca="1" si="25"/>
        <v>13:49</v>
      </c>
      <c r="H191" s="20">
        <f t="shared" ca="1" si="26"/>
        <v>0.26874999999999999</v>
      </c>
      <c r="I191" s="22" t="str">
        <f t="shared" ca="1" si="27"/>
        <v>Dinheiro</v>
      </c>
      <c r="J191" s="17">
        <f t="shared" ca="1" si="28"/>
        <v>129</v>
      </c>
      <c r="K191" s="22" t="str">
        <f t="shared" ca="1" si="29"/>
        <v>C4</v>
      </c>
      <c r="L191" s="22" t="s">
        <v>20</v>
      </c>
    </row>
    <row r="192" spans="2:12" x14ac:dyDescent="0.3">
      <c r="B192" s="22">
        <f t="shared" si="20"/>
        <v>185</v>
      </c>
      <c r="C192" s="11">
        <f t="shared" ca="1" si="21"/>
        <v>44470</v>
      </c>
      <c r="D192" s="22" t="str">
        <f t="shared" ca="1" si="22"/>
        <v>CARRO GRANDE</v>
      </c>
      <c r="E192" s="22" t="str">
        <f t="shared" ca="1" si="23"/>
        <v>LFRH-8238</v>
      </c>
      <c r="F192" s="20" t="str">
        <f t="shared" ca="1" si="24"/>
        <v>09:35</v>
      </c>
      <c r="G192" s="20" t="str">
        <f t="shared" ca="1" si="25"/>
        <v>12:23</v>
      </c>
      <c r="H192" s="20">
        <f t="shared" ca="1" si="26"/>
        <v>0.11666666666666659</v>
      </c>
      <c r="I192" s="22" t="str">
        <f t="shared" ca="1" si="27"/>
        <v>Cartão</v>
      </c>
      <c r="J192" s="17">
        <f t="shared" ca="1" si="28"/>
        <v>55.999999999999957</v>
      </c>
      <c r="K192" s="22" t="str">
        <f t="shared" ca="1" si="29"/>
        <v>B4</v>
      </c>
      <c r="L192" s="22" t="s">
        <v>20</v>
      </c>
    </row>
    <row r="193" spans="2:12" x14ac:dyDescent="0.3">
      <c r="B193" s="22">
        <f t="shared" si="20"/>
        <v>186</v>
      </c>
      <c r="C193" s="11">
        <f t="shared" ca="1" si="21"/>
        <v>44420</v>
      </c>
      <c r="D193" s="22" t="str">
        <f t="shared" ca="1" si="22"/>
        <v>CARRO MÉDIO</v>
      </c>
      <c r="E193" s="22" t="str">
        <f t="shared" ca="1" si="23"/>
        <v>YIUD-9809</v>
      </c>
      <c r="F193" s="20" t="str">
        <f t="shared" ca="1" si="24"/>
        <v>10:29</v>
      </c>
      <c r="G193" s="20" t="str">
        <f t="shared" ca="1" si="25"/>
        <v>13:46</v>
      </c>
      <c r="H193" s="20">
        <f t="shared" ca="1" si="26"/>
        <v>0.13680555555555568</v>
      </c>
      <c r="I193" s="22" t="str">
        <f t="shared" ca="1" si="27"/>
        <v>Cartão</v>
      </c>
      <c r="J193" s="17">
        <f t="shared" ca="1" si="28"/>
        <v>49.250000000000043</v>
      </c>
      <c r="K193" s="22" t="str">
        <f t="shared" ca="1" si="29"/>
        <v>A5</v>
      </c>
      <c r="L193" s="22" t="s">
        <v>20</v>
      </c>
    </row>
    <row r="194" spans="2:12" x14ac:dyDescent="0.3">
      <c r="B194" s="22">
        <f t="shared" si="20"/>
        <v>187</v>
      </c>
      <c r="C194" s="11">
        <f t="shared" ca="1" si="21"/>
        <v>44449</v>
      </c>
      <c r="D194" s="22" t="str">
        <f t="shared" ca="1" si="22"/>
        <v>CARRO GRANDE</v>
      </c>
      <c r="E194" s="22" t="str">
        <f t="shared" ca="1" si="23"/>
        <v>DKDZ-3841</v>
      </c>
      <c r="F194" s="20" t="str">
        <f t="shared" ca="1" si="24"/>
        <v>09:24</v>
      </c>
      <c r="G194" s="20" t="str">
        <f t="shared" ca="1" si="25"/>
        <v>12:59</v>
      </c>
      <c r="H194" s="20">
        <f t="shared" ca="1" si="26"/>
        <v>0.14930555555555552</v>
      </c>
      <c r="I194" s="22" t="str">
        <f t="shared" ca="1" si="27"/>
        <v>Cartão</v>
      </c>
      <c r="J194" s="17">
        <f t="shared" ca="1" si="28"/>
        <v>71.666666666666657</v>
      </c>
      <c r="K194" s="22" t="str">
        <f t="shared" ca="1" si="29"/>
        <v>B2</v>
      </c>
      <c r="L194" s="22" t="s">
        <v>20</v>
      </c>
    </row>
    <row r="195" spans="2:12" x14ac:dyDescent="0.3">
      <c r="B195" s="22">
        <f t="shared" si="20"/>
        <v>188</v>
      </c>
      <c r="C195" s="11">
        <f t="shared" ca="1" si="21"/>
        <v>44453</v>
      </c>
      <c r="D195" s="22" t="str">
        <f t="shared" ca="1" si="22"/>
        <v>MOTO</v>
      </c>
      <c r="E195" s="22" t="str">
        <f t="shared" ca="1" si="23"/>
        <v>TPRM-8763</v>
      </c>
      <c r="F195" s="20" t="str">
        <f t="shared" ca="1" si="24"/>
        <v>10:40</v>
      </c>
      <c r="G195" s="20" t="str">
        <f t="shared" ca="1" si="25"/>
        <v>13:59</v>
      </c>
      <c r="H195" s="20">
        <f t="shared" ca="1" si="26"/>
        <v>0.1381944444444444</v>
      </c>
      <c r="I195" s="22" t="str">
        <f t="shared" ca="1" si="27"/>
        <v>Cartão</v>
      </c>
      <c r="J195" s="17">
        <f t="shared" ca="1" si="28"/>
        <v>29.849999999999991</v>
      </c>
      <c r="K195" s="22" t="str">
        <f t="shared" ca="1" si="29"/>
        <v>C4</v>
      </c>
      <c r="L195" s="22" t="s">
        <v>20</v>
      </c>
    </row>
    <row r="196" spans="2:12" x14ac:dyDescent="0.3">
      <c r="B196" s="22">
        <f t="shared" si="20"/>
        <v>189</v>
      </c>
      <c r="C196" s="11">
        <f t="shared" ca="1" si="21"/>
        <v>44360</v>
      </c>
      <c r="D196" s="22" t="str">
        <f t="shared" ca="1" si="22"/>
        <v>CARRO GRANDE</v>
      </c>
      <c r="E196" s="22" t="str">
        <f t="shared" ca="1" si="23"/>
        <v>OXPX-7427</v>
      </c>
      <c r="F196" s="20" t="str">
        <f t="shared" ca="1" si="24"/>
        <v>08:52</v>
      </c>
      <c r="G196" s="20" t="str">
        <f t="shared" ca="1" si="25"/>
        <v>13:30</v>
      </c>
      <c r="H196" s="20">
        <f t="shared" ca="1" si="26"/>
        <v>0.19305555555555554</v>
      </c>
      <c r="I196" s="22" t="str">
        <f t="shared" ca="1" si="27"/>
        <v>Cartão</v>
      </c>
      <c r="J196" s="17">
        <f t="shared" ca="1" si="28"/>
        <v>92.666666666666657</v>
      </c>
      <c r="K196" s="22" t="str">
        <f t="shared" ca="1" si="29"/>
        <v>C5</v>
      </c>
      <c r="L196" s="22" t="s">
        <v>20</v>
      </c>
    </row>
    <row r="197" spans="2:12" x14ac:dyDescent="0.3">
      <c r="B197" s="22">
        <f t="shared" si="20"/>
        <v>190</v>
      </c>
      <c r="C197" s="11">
        <f t="shared" ca="1" si="21"/>
        <v>44457</v>
      </c>
      <c r="D197" s="22" t="str">
        <f t="shared" ca="1" si="22"/>
        <v>CARRO GRANDE</v>
      </c>
      <c r="E197" s="22" t="str">
        <f t="shared" ca="1" si="23"/>
        <v>FXIF-3876</v>
      </c>
      <c r="F197" s="20" t="str">
        <f t="shared" ca="1" si="24"/>
        <v>09:35</v>
      </c>
      <c r="G197" s="20" t="str">
        <f t="shared" ca="1" si="25"/>
        <v>13:11</v>
      </c>
      <c r="H197" s="20">
        <f t="shared" ca="1" si="26"/>
        <v>0.15000000000000002</v>
      </c>
      <c r="I197" s="22" t="str">
        <f t="shared" ca="1" si="27"/>
        <v>Dinheiro</v>
      </c>
      <c r="J197" s="17">
        <f t="shared" ca="1" si="28"/>
        <v>72.000000000000014</v>
      </c>
      <c r="K197" s="22" t="str">
        <f t="shared" ca="1" si="29"/>
        <v>C4</v>
      </c>
      <c r="L197" s="22" t="s">
        <v>20</v>
      </c>
    </row>
    <row r="198" spans="2:12" x14ac:dyDescent="0.3">
      <c r="B198" s="22">
        <f t="shared" si="20"/>
        <v>191</v>
      </c>
      <c r="C198" s="11">
        <f t="shared" ca="1" si="21"/>
        <v>44431</v>
      </c>
      <c r="D198" s="22" t="str">
        <f t="shared" ca="1" si="22"/>
        <v>MOTO</v>
      </c>
      <c r="E198" s="22" t="str">
        <f t="shared" ca="1" si="23"/>
        <v>TOOE-7744</v>
      </c>
      <c r="F198" s="20" t="str">
        <f t="shared" ca="1" si="24"/>
        <v>08:02</v>
      </c>
      <c r="G198" s="20" t="str">
        <f t="shared" ca="1" si="25"/>
        <v>15:04</v>
      </c>
      <c r="H198" s="20">
        <f t="shared" ca="1" si="26"/>
        <v>0.29305555555555557</v>
      </c>
      <c r="I198" s="22" t="str">
        <f t="shared" ca="1" si="27"/>
        <v>Dinheiro</v>
      </c>
      <c r="J198" s="17">
        <f t="shared" ca="1" si="28"/>
        <v>63.3</v>
      </c>
      <c r="K198" s="22" t="str">
        <f t="shared" ca="1" si="29"/>
        <v>C1</v>
      </c>
      <c r="L198" s="22" t="s">
        <v>20</v>
      </c>
    </row>
    <row r="199" spans="2:12" x14ac:dyDescent="0.3">
      <c r="B199" s="22">
        <f t="shared" si="20"/>
        <v>192</v>
      </c>
      <c r="C199" s="11">
        <f t="shared" ca="1" si="21"/>
        <v>44440</v>
      </c>
      <c r="D199" s="22" t="str">
        <f t="shared" ca="1" si="22"/>
        <v>CARRO GRANDE</v>
      </c>
      <c r="E199" s="22" t="str">
        <f t="shared" ca="1" si="23"/>
        <v>SOSG-6369</v>
      </c>
      <c r="F199" s="20" t="str">
        <f t="shared" ca="1" si="24"/>
        <v>10:56</v>
      </c>
      <c r="G199" s="20" t="str">
        <f t="shared" ca="1" si="25"/>
        <v>15:13</v>
      </c>
      <c r="H199" s="20">
        <f t="shared" ca="1" si="26"/>
        <v>0.1784722222222222</v>
      </c>
      <c r="I199" s="22" t="str">
        <f t="shared" ca="1" si="27"/>
        <v>Cartão</v>
      </c>
      <c r="J199" s="17">
        <f t="shared" ca="1" si="28"/>
        <v>85.666666666666657</v>
      </c>
      <c r="K199" s="22" t="str">
        <f t="shared" ca="1" si="29"/>
        <v>C2</v>
      </c>
      <c r="L199" s="22" t="s">
        <v>20</v>
      </c>
    </row>
    <row r="200" spans="2:12" x14ac:dyDescent="0.3">
      <c r="B200" s="22">
        <f t="shared" si="20"/>
        <v>193</v>
      </c>
      <c r="C200" s="11">
        <f t="shared" ca="1" si="21"/>
        <v>44376</v>
      </c>
      <c r="D200" s="22" t="str">
        <f t="shared" ca="1" si="22"/>
        <v>CARRO PEQUENO</v>
      </c>
      <c r="E200" s="22" t="str">
        <f t="shared" ca="1" si="23"/>
        <v>KAHW-5624</v>
      </c>
      <c r="F200" s="20" t="str">
        <f t="shared" ca="1" si="24"/>
        <v>11:56</v>
      </c>
      <c r="G200" s="20" t="str">
        <f t="shared" ca="1" si="25"/>
        <v>14:48</v>
      </c>
      <c r="H200" s="20">
        <f t="shared" ca="1" si="26"/>
        <v>0.11944444444444446</v>
      </c>
      <c r="I200" s="22" t="str">
        <f t="shared" ca="1" si="27"/>
        <v>Dinheiro</v>
      </c>
      <c r="J200" s="17">
        <f t="shared" ca="1" si="28"/>
        <v>34.400000000000006</v>
      </c>
      <c r="K200" s="22" t="str">
        <f t="shared" ca="1" si="29"/>
        <v>B5</v>
      </c>
      <c r="L200" s="22" t="s">
        <v>20</v>
      </c>
    </row>
    <row r="201" spans="2:12" x14ac:dyDescent="0.3">
      <c r="B201" s="22">
        <f t="shared" ref="B201:B260" si="30">ROW(A194)</f>
        <v>194</v>
      </c>
      <c r="C201" s="11">
        <f t="shared" ref="C201:C260" ca="1" si="31">DATE(2021,RANDBETWEEN(6,9),RANDBETWEEN(1,31))</f>
        <v>44436</v>
      </c>
      <c r="D201" s="22" t="str">
        <f t="shared" ref="D201:D260" ca="1" si="32">CHOOSE(RANDBETWEEN(1,4),$D$2,$D$3,$D$4,$D$5)</f>
        <v>CARRO MÉDIO</v>
      </c>
      <c r="E201" s="22" t="str">
        <f t="shared" ref="E201:E260" ca="1" si="33">CHAR(RANDBETWEEN(65,90))&amp;CHAR(RANDBETWEEN(65,90))&amp;CHAR(RANDBETWEEN(65,90))&amp;CHAR(RANDBETWEEN(65,90))&amp;"-"&amp;RANDBETWEEN(1111,9999)</f>
        <v>SNXC-3524</v>
      </c>
      <c r="F201" s="20" t="str">
        <f t="shared" ref="F201:F260" ca="1" si="34">TEXT(RANDBETWEEN(7,11)&amp;":"&amp;RANDBETWEEN(1,59),"HH:MM")</f>
        <v>08:24</v>
      </c>
      <c r="G201" s="20" t="str">
        <f t="shared" ref="G201:G260" ca="1" si="35">TEXT(RANDBETWEEN(12,15)&amp;":"&amp;RANDBETWEEN(1,59),"HH:MM")</f>
        <v>13:43</v>
      </c>
      <c r="H201" s="20">
        <f t="shared" ref="H201:H260" ca="1" si="36">G201-F201</f>
        <v>0.22152777777777771</v>
      </c>
      <c r="I201" s="22" t="str">
        <f t="shared" ref="I201:I260" ca="1" si="37">CHOOSE(RANDBETWEEN(1,2),"Cartão","Dinheiro")</f>
        <v>Cartão</v>
      </c>
      <c r="J201" s="17">
        <f t="shared" ref="J201:J264" ca="1" si="38">H201*24*IF(D201=$D$2,$E$2,IF(D201=$D$3,$E$3,IF(D201=$D$4,$E$4,IF(D201=$D$5,$E$5))))</f>
        <v>79.749999999999972</v>
      </c>
      <c r="K201" s="22" t="str">
        <f t="shared" ref="K201:K260" ca="1" si="39">CHOOSE(RANDBETWEEN(1,15),"A1","A2","A3","A4","A5","B1","B2","B3","B4","B5","C1","C2","C3","C4","C5")</f>
        <v>B4</v>
      </c>
      <c r="L201" s="22" t="s">
        <v>20</v>
      </c>
    </row>
    <row r="202" spans="2:12" x14ac:dyDescent="0.3">
      <c r="B202" s="22">
        <f t="shared" si="30"/>
        <v>195</v>
      </c>
      <c r="C202" s="11">
        <f t="shared" ca="1" si="31"/>
        <v>44435</v>
      </c>
      <c r="D202" s="22" t="str">
        <f t="shared" ca="1" si="32"/>
        <v>CARRO PEQUENO</v>
      </c>
      <c r="E202" s="22" t="str">
        <f t="shared" ca="1" si="33"/>
        <v>WTES-3385</v>
      </c>
      <c r="F202" s="20" t="str">
        <f t="shared" ca="1" si="34"/>
        <v>08:51</v>
      </c>
      <c r="G202" s="20" t="str">
        <f t="shared" ca="1" si="35"/>
        <v>14:27</v>
      </c>
      <c r="H202" s="20">
        <f t="shared" ca="1" si="36"/>
        <v>0.23333333333333334</v>
      </c>
      <c r="I202" s="22" t="str">
        <f t="shared" ca="1" si="37"/>
        <v>Dinheiro</v>
      </c>
      <c r="J202" s="17">
        <f t="shared" ca="1" si="38"/>
        <v>67.199999999999989</v>
      </c>
      <c r="K202" s="22" t="str">
        <f t="shared" ca="1" si="39"/>
        <v>A1</v>
      </c>
      <c r="L202" s="22" t="s">
        <v>20</v>
      </c>
    </row>
    <row r="203" spans="2:12" x14ac:dyDescent="0.3">
      <c r="B203" s="22">
        <f t="shared" si="30"/>
        <v>196</v>
      </c>
      <c r="C203" s="11">
        <f t="shared" ca="1" si="31"/>
        <v>44406</v>
      </c>
      <c r="D203" s="22" t="str">
        <f t="shared" ca="1" si="32"/>
        <v>MOTO</v>
      </c>
      <c r="E203" s="22" t="str">
        <f t="shared" ca="1" si="33"/>
        <v>PWUY-2794</v>
      </c>
      <c r="F203" s="20" t="str">
        <f t="shared" ca="1" si="34"/>
        <v>11:45</v>
      </c>
      <c r="G203" s="20" t="str">
        <f t="shared" ca="1" si="35"/>
        <v>13:52</v>
      </c>
      <c r="H203" s="20">
        <f t="shared" ca="1" si="36"/>
        <v>8.819444444444452E-2</v>
      </c>
      <c r="I203" s="22" t="str">
        <f t="shared" ca="1" si="37"/>
        <v>Cartão</v>
      </c>
      <c r="J203" s="17">
        <f t="shared" ca="1" si="38"/>
        <v>19.050000000000015</v>
      </c>
      <c r="K203" s="22" t="str">
        <f t="shared" ca="1" si="39"/>
        <v>A3</v>
      </c>
      <c r="L203" s="22" t="s">
        <v>20</v>
      </c>
    </row>
    <row r="204" spans="2:12" x14ac:dyDescent="0.3">
      <c r="B204" s="22">
        <f t="shared" si="30"/>
        <v>197</v>
      </c>
      <c r="C204" s="11">
        <f t="shared" ca="1" si="31"/>
        <v>44365</v>
      </c>
      <c r="D204" s="22" t="str">
        <f t="shared" ca="1" si="32"/>
        <v>MOTO</v>
      </c>
      <c r="E204" s="22" t="str">
        <f t="shared" ca="1" si="33"/>
        <v>LPYE-2379</v>
      </c>
      <c r="F204" s="20" t="str">
        <f t="shared" ca="1" si="34"/>
        <v>08:26</v>
      </c>
      <c r="G204" s="20" t="str">
        <f t="shared" ca="1" si="35"/>
        <v>12:05</v>
      </c>
      <c r="H204" s="20">
        <f t="shared" ca="1" si="36"/>
        <v>0.15208333333333329</v>
      </c>
      <c r="I204" s="22" t="str">
        <f t="shared" ca="1" si="37"/>
        <v>Cartão</v>
      </c>
      <c r="J204" s="17">
        <f t="shared" ca="1" si="38"/>
        <v>32.849999999999994</v>
      </c>
      <c r="K204" s="22" t="str">
        <f t="shared" ca="1" si="39"/>
        <v>C3</v>
      </c>
      <c r="L204" s="22" t="s">
        <v>20</v>
      </c>
    </row>
    <row r="205" spans="2:12" x14ac:dyDescent="0.3">
      <c r="B205" s="22">
        <f t="shared" si="30"/>
        <v>198</v>
      </c>
      <c r="C205" s="11">
        <f t="shared" ca="1" si="31"/>
        <v>44456</v>
      </c>
      <c r="D205" s="22" t="str">
        <f t="shared" ca="1" si="32"/>
        <v>MOTO</v>
      </c>
      <c r="E205" s="22" t="str">
        <f t="shared" ca="1" si="33"/>
        <v>SWEG-3971</v>
      </c>
      <c r="F205" s="20" t="str">
        <f t="shared" ca="1" si="34"/>
        <v>07:29</v>
      </c>
      <c r="G205" s="20" t="str">
        <f t="shared" ca="1" si="35"/>
        <v>15:25</v>
      </c>
      <c r="H205" s="20">
        <f t="shared" ca="1" si="36"/>
        <v>0.33055555555555549</v>
      </c>
      <c r="I205" s="22" t="str">
        <f t="shared" ca="1" si="37"/>
        <v>Dinheiro</v>
      </c>
      <c r="J205" s="17">
        <f t="shared" ca="1" si="38"/>
        <v>71.399999999999991</v>
      </c>
      <c r="K205" s="22" t="str">
        <f t="shared" ca="1" si="39"/>
        <v>C4</v>
      </c>
      <c r="L205" s="22" t="s">
        <v>20</v>
      </c>
    </row>
    <row r="206" spans="2:12" x14ac:dyDescent="0.3">
      <c r="B206" s="22">
        <f t="shared" si="30"/>
        <v>199</v>
      </c>
      <c r="C206" s="11">
        <f t="shared" ca="1" si="31"/>
        <v>44383</v>
      </c>
      <c r="D206" s="22" t="str">
        <f t="shared" ca="1" si="32"/>
        <v>CARRO PEQUENO</v>
      </c>
      <c r="E206" s="22" t="str">
        <f t="shared" ca="1" si="33"/>
        <v>UXOA-9156</v>
      </c>
      <c r="F206" s="20" t="str">
        <f t="shared" ca="1" si="34"/>
        <v>07:13</v>
      </c>
      <c r="G206" s="20" t="str">
        <f t="shared" ca="1" si="35"/>
        <v>14:30</v>
      </c>
      <c r="H206" s="20">
        <f t="shared" ca="1" si="36"/>
        <v>0.3034722222222222</v>
      </c>
      <c r="I206" s="22" t="str">
        <f t="shared" ca="1" si="37"/>
        <v>Cartão</v>
      </c>
      <c r="J206" s="17">
        <f t="shared" ca="1" si="38"/>
        <v>87.4</v>
      </c>
      <c r="K206" s="22" t="str">
        <f t="shared" ca="1" si="39"/>
        <v>C3</v>
      </c>
      <c r="L206" s="22" t="s">
        <v>20</v>
      </c>
    </row>
    <row r="207" spans="2:12" x14ac:dyDescent="0.3">
      <c r="B207" s="22">
        <f t="shared" si="30"/>
        <v>200</v>
      </c>
      <c r="C207" s="11">
        <f t="shared" ca="1" si="31"/>
        <v>44392</v>
      </c>
      <c r="D207" s="22" t="str">
        <f t="shared" ca="1" si="32"/>
        <v>CARRO GRANDE</v>
      </c>
      <c r="E207" s="22" t="str">
        <f t="shared" ca="1" si="33"/>
        <v>JZHU-2031</v>
      </c>
      <c r="F207" s="20" t="str">
        <f t="shared" ca="1" si="34"/>
        <v>07:55</v>
      </c>
      <c r="G207" s="20" t="str">
        <f t="shared" ca="1" si="35"/>
        <v>13:35</v>
      </c>
      <c r="H207" s="20">
        <f t="shared" ca="1" si="36"/>
        <v>0.2361111111111111</v>
      </c>
      <c r="I207" s="22" t="str">
        <f t="shared" ca="1" si="37"/>
        <v>Cartão</v>
      </c>
      <c r="J207" s="17">
        <f t="shared" ca="1" si="38"/>
        <v>113.33333333333331</v>
      </c>
      <c r="K207" s="22" t="str">
        <f t="shared" ca="1" si="39"/>
        <v>C4</v>
      </c>
      <c r="L207" s="22" t="s">
        <v>20</v>
      </c>
    </row>
    <row r="208" spans="2:12" x14ac:dyDescent="0.3">
      <c r="B208" s="22">
        <f t="shared" si="30"/>
        <v>201</v>
      </c>
      <c r="C208" s="11">
        <f t="shared" ca="1" si="31"/>
        <v>44414</v>
      </c>
      <c r="D208" s="22" t="str">
        <f t="shared" ca="1" si="32"/>
        <v>CARRO MÉDIO</v>
      </c>
      <c r="E208" s="22" t="str">
        <f t="shared" ca="1" si="33"/>
        <v>FAET-3299</v>
      </c>
      <c r="F208" s="20" t="str">
        <f t="shared" ca="1" si="34"/>
        <v>07:14</v>
      </c>
      <c r="G208" s="20" t="str">
        <f t="shared" ca="1" si="35"/>
        <v>15:10</v>
      </c>
      <c r="H208" s="20">
        <f t="shared" ca="1" si="36"/>
        <v>0.33055555555555555</v>
      </c>
      <c r="I208" s="22" t="str">
        <f t="shared" ca="1" si="37"/>
        <v>Dinheiro</v>
      </c>
      <c r="J208" s="17">
        <f t="shared" ca="1" si="38"/>
        <v>119</v>
      </c>
      <c r="K208" s="22" t="str">
        <f t="shared" ca="1" si="39"/>
        <v>B5</v>
      </c>
      <c r="L208" s="22" t="s">
        <v>20</v>
      </c>
    </row>
    <row r="209" spans="2:12" x14ac:dyDescent="0.3">
      <c r="B209" s="22">
        <f t="shared" si="30"/>
        <v>202</v>
      </c>
      <c r="C209" s="11">
        <f t="shared" ca="1" si="31"/>
        <v>44458</v>
      </c>
      <c r="D209" s="22" t="str">
        <f t="shared" ca="1" si="32"/>
        <v>MOTO</v>
      </c>
      <c r="E209" s="22" t="str">
        <f t="shared" ca="1" si="33"/>
        <v>LFWB-8711</v>
      </c>
      <c r="F209" s="20" t="str">
        <f t="shared" ca="1" si="34"/>
        <v>09:05</v>
      </c>
      <c r="G209" s="20" t="str">
        <f t="shared" ca="1" si="35"/>
        <v>15:43</v>
      </c>
      <c r="H209" s="20">
        <f t="shared" ca="1" si="36"/>
        <v>0.27638888888888885</v>
      </c>
      <c r="I209" s="22" t="str">
        <f t="shared" ca="1" si="37"/>
        <v>Dinheiro</v>
      </c>
      <c r="J209" s="17">
        <f t="shared" ca="1" si="38"/>
        <v>59.699999999999996</v>
      </c>
      <c r="K209" s="22" t="str">
        <f t="shared" ca="1" si="39"/>
        <v>B2</v>
      </c>
      <c r="L209" s="22" t="s">
        <v>20</v>
      </c>
    </row>
    <row r="210" spans="2:12" x14ac:dyDescent="0.3">
      <c r="B210" s="22">
        <f t="shared" si="30"/>
        <v>203</v>
      </c>
      <c r="C210" s="11">
        <f t="shared" ca="1" si="31"/>
        <v>44380</v>
      </c>
      <c r="D210" s="22" t="str">
        <f t="shared" ca="1" si="32"/>
        <v>CARRO PEQUENO</v>
      </c>
      <c r="E210" s="22" t="str">
        <f t="shared" ca="1" si="33"/>
        <v>SXIU-2257</v>
      </c>
      <c r="F210" s="20" t="str">
        <f t="shared" ca="1" si="34"/>
        <v>08:15</v>
      </c>
      <c r="G210" s="20" t="str">
        <f t="shared" ca="1" si="35"/>
        <v>14:28</v>
      </c>
      <c r="H210" s="20">
        <f t="shared" ca="1" si="36"/>
        <v>0.25902777777777775</v>
      </c>
      <c r="I210" s="22" t="str">
        <f t="shared" ca="1" si="37"/>
        <v>Dinheiro</v>
      </c>
      <c r="J210" s="17">
        <f t="shared" ca="1" si="38"/>
        <v>74.599999999999994</v>
      </c>
      <c r="K210" s="22" t="str">
        <f t="shared" ca="1" si="39"/>
        <v>A1</v>
      </c>
      <c r="L210" s="22" t="s">
        <v>20</v>
      </c>
    </row>
    <row r="211" spans="2:12" x14ac:dyDescent="0.3">
      <c r="B211" s="22">
        <f t="shared" si="30"/>
        <v>204</v>
      </c>
      <c r="C211" s="11">
        <f t="shared" ca="1" si="31"/>
        <v>44437</v>
      </c>
      <c r="D211" s="22" t="str">
        <f t="shared" ca="1" si="32"/>
        <v>CARRO MÉDIO</v>
      </c>
      <c r="E211" s="22" t="str">
        <f t="shared" ca="1" si="33"/>
        <v>CIPL-5321</v>
      </c>
      <c r="F211" s="20" t="str">
        <f t="shared" ca="1" si="34"/>
        <v>11:10</v>
      </c>
      <c r="G211" s="20" t="str">
        <f t="shared" ca="1" si="35"/>
        <v>12:27</v>
      </c>
      <c r="H211" s="20">
        <f t="shared" ca="1" si="36"/>
        <v>5.3472222222222199E-2</v>
      </c>
      <c r="I211" s="22" t="str">
        <f t="shared" ca="1" si="37"/>
        <v>Cartão</v>
      </c>
      <c r="J211" s="17">
        <f t="shared" ca="1" si="38"/>
        <v>19.249999999999993</v>
      </c>
      <c r="K211" s="22" t="str">
        <f t="shared" ca="1" si="39"/>
        <v>B2</v>
      </c>
      <c r="L211" s="22" t="s">
        <v>20</v>
      </c>
    </row>
    <row r="212" spans="2:12" x14ac:dyDescent="0.3">
      <c r="B212" s="22">
        <f t="shared" si="30"/>
        <v>205</v>
      </c>
      <c r="C212" s="11">
        <f t="shared" ca="1" si="31"/>
        <v>44461</v>
      </c>
      <c r="D212" s="22" t="str">
        <f t="shared" ca="1" si="32"/>
        <v>CARRO MÉDIO</v>
      </c>
      <c r="E212" s="22" t="str">
        <f t="shared" ca="1" si="33"/>
        <v>YUIF-8533</v>
      </c>
      <c r="F212" s="20" t="str">
        <f t="shared" ca="1" si="34"/>
        <v>08:35</v>
      </c>
      <c r="G212" s="20" t="str">
        <f t="shared" ca="1" si="35"/>
        <v>14:33</v>
      </c>
      <c r="H212" s="20">
        <f t="shared" ca="1" si="36"/>
        <v>0.24861111111111117</v>
      </c>
      <c r="I212" s="22" t="str">
        <f t="shared" ca="1" si="37"/>
        <v>Cartão</v>
      </c>
      <c r="J212" s="17">
        <f t="shared" ca="1" si="38"/>
        <v>89.500000000000028</v>
      </c>
      <c r="K212" s="22" t="str">
        <f t="shared" ca="1" si="39"/>
        <v>A5</v>
      </c>
      <c r="L212" s="22" t="s">
        <v>20</v>
      </c>
    </row>
    <row r="213" spans="2:12" x14ac:dyDescent="0.3">
      <c r="B213" s="22">
        <f t="shared" si="30"/>
        <v>206</v>
      </c>
      <c r="C213" s="11">
        <f t="shared" ca="1" si="31"/>
        <v>44470</v>
      </c>
      <c r="D213" s="22" t="str">
        <f t="shared" ca="1" si="32"/>
        <v>CARRO PEQUENO</v>
      </c>
      <c r="E213" s="22" t="str">
        <f t="shared" ca="1" si="33"/>
        <v>BHME-6602</v>
      </c>
      <c r="F213" s="20" t="str">
        <f t="shared" ca="1" si="34"/>
        <v>09:01</v>
      </c>
      <c r="G213" s="20" t="str">
        <f t="shared" ca="1" si="35"/>
        <v>13:50</v>
      </c>
      <c r="H213" s="20">
        <f t="shared" ca="1" si="36"/>
        <v>0.20069444444444445</v>
      </c>
      <c r="I213" s="22" t="str">
        <f t="shared" ca="1" si="37"/>
        <v>Cartão</v>
      </c>
      <c r="J213" s="17">
        <f t="shared" ca="1" si="38"/>
        <v>57.8</v>
      </c>
      <c r="K213" s="22" t="str">
        <f t="shared" ca="1" si="39"/>
        <v>A4</v>
      </c>
      <c r="L213" s="22" t="s">
        <v>20</v>
      </c>
    </row>
    <row r="214" spans="2:12" x14ac:dyDescent="0.3">
      <c r="B214" s="22">
        <f t="shared" si="30"/>
        <v>207</v>
      </c>
      <c r="C214" s="11">
        <f t="shared" ca="1" si="31"/>
        <v>44430</v>
      </c>
      <c r="D214" s="22" t="str">
        <f t="shared" ca="1" si="32"/>
        <v>CARRO PEQUENO</v>
      </c>
      <c r="E214" s="22" t="str">
        <f t="shared" ca="1" si="33"/>
        <v>YXOR-3208</v>
      </c>
      <c r="F214" s="20" t="str">
        <f t="shared" ca="1" si="34"/>
        <v>10:22</v>
      </c>
      <c r="G214" s="20" t="str">
        <f t="shared" ca="1" si="35"/>
        <v>15:06</v>
      </c>
      <c r="H214" s="20">
        <f t="shared" ca="1" si="36"/>
        <v>0.19722222222222219</v>
      </c>
      <c r="I214" s="22" t="str">
        <f t="shared" ca="1" si="37"/>
        <v>Dinheiro</v>
      </c>
      <c r="J214" s="17">
        <f t="shared" ca="1" si="38"/>
        <v>56.79999999999999</v>
      </c>
      <c r="K214" s="22" t="str">
        <f t="shared" ca="1" si="39"/>
        <v>B4</v>
      </c>
      <c r="L214" s="22" t="s">
        <v>20</v>
      </c>
    </row>
    <row r="215" spans="2:12" x14ac:dyDescent="0.3">
      <c r="B215" s="22">
        <f t="shared" si="30"/>
        <v>208</v>
      </c>
      <c r="C215" s="11">
        <f t="shared" ca="1" si="31"/>
        <v>44404</v>
      </c>
      <c r="D215" s="22" t="str">
        <f t="shared" ca="1" si="32"/>
        <v>CARRO PEQUENO</v>
      </c>
      <c r="E215" s="22" t="str">
        <f t="shared" ca="1" si="33"/>
        <v>GLZI-2527</v>
      </c>
      <c r="F215" s="20" t="str">
        <f t="shared" ca="1" si="34"/>
        <v>09:18</v>
      </c>
      <c r="G215" s="20" t="str">
        <f t="shared" ca="1" si="35"/>
        <v>13:27</v>
      </c>
      <c r="H215" s="20">
        <f t="shared" ca="1" si="36"/>
        <v>0.17291666666666666</v>
      </c>
      <c r="I215" s="22" t="str">
        <f t="shared" ca="1" si="37"/>
        <v>Dinheiro</v>
      </c>
      <c r="J215" s="17">
        <f t="shared" ca="1" si="38"/>
        <v>49.800000000000004</v>
      </c>
      <c r="K215" s="22" t="str">
        <f t="shared" ca="1" si="39"/>
        <v>A3</v>
      </c>
      <c r="L215" s="22" t="s">
        <v>20</v>
      </c>
    </row>
    <row r="216" spans="2:12" x14ac:dyDescent="0.3">
      <c r="B216" s="22">
        <f t="shared" si="30"/>
        <v>209</v>
      </c>
      <c r="C216" s="11">
        <f t="shared" ca="1" si="31"/>
        <v>44467</v>
      </c>
      <c r="D216" s="22" t="str">
        <f t="shared" ca="1" si="32"/>
        <v>CARRO MÉDIO</v>
      </c>
      <c r="E216" s="22" t="str">
        <f t="shared" ca="1" si="33"/>
        <v>YWZH-7592</v>
      </c>
      <c r="F216" s="20" t="str">
        <f t="shared" ca="1" si="34"/>
        <v>11:07</v>
      </c>
      <c r="G216" s="20" t="str">
        <f t="shared" ca="1" si="35"/>
        <v>12:31</v>
      </c>
      <c r="H216" s="20">
        <f t="shared" ca="1" si="36"/>
        <v>5.8333333333333348E-2</v>
      </c>
      <c r="I216" s="22" t="str">
        <f t="shared" ca="1" si="37"/>
        <v>Cartão</v>
      </c>
      <c r="J216" s="17">
        <f t="shared" ca="1" si="38"/>
        <v>21.000000000000007</v>
      </c>
      <c r="K216" s="22" t="str">
        <f t="shared" ca="1" si="39"/>
        <v>C3</v>
      </c>
      <c r="L216" s="22" t="s">
        <v>20</v>
      </c>
    </row>
    <row r="217" spans="2:12" x14ac:dyDescent="0.3">
      <c r="B217" s="22">
        <f t="shared" si="30"/>
        <v>210</v>
      </c>
      <c r="C217" s="11">
        <f t="shared" ca="1" si="31"/>
        <v>44385</v>
      </c>
      <c r="D217" s="22" t="str">
        <f t="shared" ca="1" si="32"/>
        <v>CARRO GRANDE</v>
      </c>
      <c r="E217" s="22" t="str">
        <f t="shared" ca="1" si="33"/>
        <v>VMQB-4898</v>
      </c>
      <c r="F217" s="20" t="str">
        <f t="shared" ca="1" si="34"/>
        <v>11:08</v>
      </c>
      <c r="G217" s="20" t="str">
        <f t="shared" ca="1" si="35"/>
        <v>12:47</v>
      </c>
      <c r="H217" s="20">
        <f t="shared" ca="1" si="36"/>
        <v>6.8750000000000033E-2</v>
      </c>
      <c r="I217" s="22" t="str">
        <f t="shared" ca="1" si="37"/>
        <v>Dinheiro</v>
      </c>
      <c r="J217" s="17">
        <f t="shared" ca="1" si="38"/>
        <v>33.000000000000014</v>
      </c>
      <c r="K217" s="22" t="str">
        <f t="shared" ca="1" si="39"/>
        <v>B5</v>
      </c>
      <c r="L217" s="22" t="s">
        <v>20</v>
      </c>
    </row>
    <row r="218" spans="2:12" x14ac:dyDescent="0.3">
      <c r="B218" s="22">
        <f t="shared" si="30"/>
        <v>211</v>
      </c>
      <c r="C218" s="11">
        <f t="shared" ca="1" si="31"/>
        <v>44459</v>
      </c>
      <c r="D218" s="22" t="str">
        <f t="shared" ca="1" si="32"/>
        <v>MOTO</v>
      </c>
      <c r="E218" s="22" t="str">
        <f t="shared" ca="1" si="33"/>
        <v>TRSQ-9957</v>
      </c>
      <c r="F218" s="20" t="str">
        <f t="shared" ca="1" si="34"/>
        <v>07:50</v>
      </c>
      <c r="G218" s="20" t="str">
        <f t="shared" ca="1" si="35"/>
        <v>15:28</v>
      </c>
      <c r="H218" s="20">
        <f t="shared" ca="1" si="36"/>
        <v>0.31805555555555559</v>
      </c>
      <c r="I218" s="22" t="str">
        <f t="shared" ca="1" si="37"/>
        <v>Dinheiro</v>
      </c>
      <c r="J218" s="17">
        <f t="shared" ca="1" si="38"/>
        <v>68.700000000000017</v>
      </c>
      <c r="K218" s="22" t="str">
        <f t="shared" ca="1" si="39"/>
        <v>C1</v>
      </c>
      <c r="L218" s="22" t="s">
        <v>20</v>
      </c>
    </row>
    <row r="219" spans="2:12" x14ac:dyDescent="0.3">
      <c r="B219" s="22">
        <f t="shared" si="30"/>
        <v>212</v>
      </c>
      <c r="C219" s="11">
        <f t="shared" ca="1" si="31"/>
        <v>44460</v>
      </c>
      <c r="D219" s="22" t="str">
        <f t="shared" ca="1" si="32"/>
        <v>CARRO GRANDE</v>
      </c>
      <c r="E219" s="22" t="str">
        <f t="shared" ca="1" si="33"/>
        <v>USYI-1225</v>
      </c>
      <c r="F219" s="20" t="str">
        <f t="shared" ca="1" si="34"/>
        <v>07:05</v>
      </c>
      <c r="G219" s="20" t="str">
        <f t="shared" ca="1" si="35"/>
        <v>12:16</v>
      </c>
      <c r="H219" s="20">
        <f t="shared" ca="1" si="36"/>
        <v>0.21597222222222229</v>
      </c>
      <c r="I219" s="22" t="str">
        <f t="shared" ca="1" si="37"/>
        <v>Dinheiro</v>
      </c>
      <c r="J219" s="17">
        <f t="shared" ca="1" si="38"/>
        <v>103.66666666666671</v>
      </c>
      <c r="K219" s="22" t="str">
        <f t="shared" ca="1" si="39"/>
        <v>A4</v>
      </c>
      <c r="L219" s="22" t="s">
        <v>20</v>
      </c>
    </row>
    <row r="220" spans="2:12" x14ac:dyDescent="0.3">
      <c r="B220" s="22">
        <f t="shared" si="30"/>
        <v>213</v>
      </c>
      <c r="C220" s="11">
        <f t="shared" ca="1" si="31"/>
        <v>44388</v>
      </c>
      <c r="D220" s="22" t="str">
        <f t="shared" ca="1" si="32"/>
        <v>CARRO GRANDE</v>
      </c>
      <c r="E220" s="22" t="str">
        <f t="shared" ca="1" si="33"/>
        <v>VRVF-7457</v>
      </c>
      <c r="F220" s="20" t="str">
        <f t="shared" ca="1" si="34"/>
        <v>10:04</v>
      </c>
      <c r="G220" s="20" t="str">
        <f t="shared" ca="1" si="35"/>
        <v>14:44</v>
      </c>
      <c r="H220" s="20">
        <f t="shared" ca="1" si="36"/>
        <v>0.19444444444444436</v>
      </c>
      <c r="I220" s="22" t="str">
        <f t="shared" ca="1" si="37"/>
        <v>Cartão</v>
      </c>
      <c r="J220" s="17">
        <f t="shared" ca="1" si="38"/>
        <v>93.333333333333286</v>
      </c>
      <c r="K220" s="22" t="str">
        <f t="shared" ca="1" si="39"/>
        <v>A4</v>
      </c>
      <c r="L220" s="22" t="s">
        <v>20</v>
      </c>
    </row>
    <row r="221" spans="2:12" x14ac:dyDescent="0.3">
      <c r="B221" s="22">
        <f t="shared" si="30"/>
        <v>214</v>
      </c>
      <c r="C221" s="11">
        <f t="shared" ca="1" si="31"/>
        <v>44457</v>
      </c>
      <c r="D221" s="22" t="str">
        <f t="shared" ca="1" si="32"/>
        <v>CARRO MÉDIO</v>
      </c>
      <c r="E221" s="22" t="str">
        <f t="shared" ca="1" si="33"/>
        <v>KJBZ-6773</v>
      </c>
      <c r="F221" s="20" t="str">
        <f t="shared" ca="1" si="34"/>
        <v>08:23</v>
      </c>
      <c r="G221" s="20" t="str">
        <f t="shared" ca="1" si="35"/>
        <v>12:24</v>
      </c>
      <c r="H221" s="20">
        <f t="shared" ca="1" si="36"/>
        <v>0.16736111111111118</v>
      </c>
      <c r="I221" s="22" t="str">
        <f t="shared" ca="1" si="37"/>
        <v>Cartão</v>
      </c>
      <c r="J221" s="17">
        <f t="shared" ca="1" si="38"/>
        <v>60.250000000000028</v>
      </c>
      <c r="K221" s="22" t="str">
        <f t="shared" ca="1" si="39"/>
        <v>A3</v>
      </c>
      <c r="L221" s="22" t="s">
        <v>20</v>
      </c>
    </row>
    <row r="222" spans="2:12" x14ac:dyDescent="0.3">
      <c r="B222" s="22">
        <f t="shared" si="30"/>
        <v>215</v>
      </c>
      <c r="C222" s="11">
        <f t="shared" ca="1" si="31"/>
        <v>44395</v>
      </c>
      <c r="D222" s="22" t="str">
        <f t="shared" ca="1" si="32"/>
        <v>CARRO PEQUENO</v>
      </c>
      <c r="E222" s="22" t="str">
        <f t="shared" ca="1" si="33"/>
        <v>NLDN-9784</v>
      </c>
      <c r="F222" s="20" t="str">
        <f t="shared" ca="1" si="34"/>
        <v>07:50</v>
      </c>
      <c r="G222" s="20" t="str">
        <f t="shared" ca="1" si="35"/>
        <v>12:17</v>
      </c>
      <c r="H222" s="20">
        <f t="shared" ca="1" si="36"/>
        <v>0.18541666666666662</v>
      </c>
      <c r="I222" s="22" t="str">
        <f t="shared" ca="1" si="37"/>
        <v>Cartão</v>
      </c>
      <c r="J222" s="17">
        <f t="shared" ca="1" si="38"/>
        <v>53.399999999999991</v>
      </c>
      <c r="K222" s="22" t="str">
        <f t="shared" ca="1" si="39"/>
        <v>C4</v>
      </c>
      <c r="L222" s="22" t="s">
        <v>20</v>
      </c>
    </row>
    <row r="223" spans="2:12" x14ac:dyDescent="0.3">
      <c r="B223" s="22">
        <f t="shared" si="30"/>
        <v>216</v>
      </c>
      <c r="C223" s="11">
        <f t="shared" ca="1" si="31"/>
        <v>44451</v>
      </c>
      <c r="D223" s="22" t="str">
        <f t="shared" ca="1" si="32"/>
        <v>CARRO MÉDIO</v>
      </c>
      <c r="E223" s="22" t="str">
        <f t="shared" ca="1" si="33"/>
        <v>NGSU-8478</v>
      </c>
      <c r="F223" s="20" t="str">
        <f t="shared" ca="1" si="34"/>
        <v>09:47</v>
      </c>
      <c r="G223" s="20" t="str">
        <f t="shared" ca="1" si="35"/>
        <v>15:43</v>
      </c>
      <c r="H223" s="20">
        <f t="shared" ca="1" si="36"/>
        <v>0.24722222222222223</v>
      </c>
      <c r="I223" s="22" t="str">
        <f t="shared" ca="1" si="37"/>
        <v>Cartão</v>
      </c>
      <c r="J223" s="17">
        <f t="shared" ca="1" si="38"/>
        <v>89</v>
      </c>
      <c r="K223" s="22" t="str">
        <f t="shared" ca="1" si="39"/>
        <v>A1</v>
      </c>
      <c r="L223" s="22" t="s">
        <v>20</v>
      </c>
    </row>
    <row r="224" spans="2:12" x14ac:dyDescent="0.3">
      <c r="B224" s="22">
        <f t="shared" si="30"/>
        <v>217</v>
      </c>
      <c r="C224" s="11">
        <f t="shared" ca="1" si="31"/>
        <v>44430</v>
      </c>
      <c r="D224" s="22" t="str">
        <f t="shared" ca="1" si="32"/>
        <v>MOTO</v>
      </c>
      <c r="E224" s="22" t="str">
        <f t="shared" ca="1" si="33"/>
        <v>AJBG-6859</v>
      </c>
      <c r="F224" s="20" t="str">
        <f t="shared" ca="1" si="34"/>
        <v>11:01</v>
      </c>
      <c r="G224" s="20" t="str">
        <f t="shared" ca="1" si="35"/>
        <v>14:30</v>
      </c>
      <c r="H224" s="20">
        <f t="shared" ca="1" si="36"/>
        <v>0.14513888888888882</v>
      </c>
      <c r="I224" s="22" t="str">
        <f t="shared" ca="1" si="37"/>
        <v>Dinheiro</v>
      </c>
      <c r="J224" s="17">
        <f t="shared" ca="1" si="38"/>
        <v>31.349999999999984</v>
      </c>
      <c r="K224" s="22" t="str">
        <f t="shared" ca="1" si="39"/>
        <v>A4</v>
      </c>
      <c r="L224" s="22" t="s">
        <v>20</v>
      </c>
    </row>
    <row r="225" spans="2:12" x14ac:dyDescent="0.3">
      <c r="B225" s="22">
        <f t="shared" si="30"/>
        <v>218</v>
      </c>
      <c r="C225" s="11">
        <f t="shared" ca="1" si="31"/>
        <v>44422</v>
      </c>
      <c r="D225" s="22" t="str">
        <f t="shared" ca="1" si="32"/>
        <v>MOTO</v>
      </c>
      <c r="E225" s="22" t="str">
        <f t="shared" ca="1" si="33"/>
        <v>UYWV-7131</v>
      </c>
      <c r="F225" s="20" t="str">
        <f t="shared" ca="1" si="34"/>
        <v>11:05</v>
      </c>
      <c r="G225" s="20" t="str">
        <f t="shared" ca="1" si="35"/>
        <v>13:08</v>
      </c>
      <c r="H225" s="20">
        <f t="shared" ca="1" si="36"/>
        <v>8.5416666666666585E-2</v>
      </c>
      <c r="I225" s="22" t="str">
        <f t="shared" ca="1" si="37"/>
        <v>Dinheiro</v>
      </c>
      <c r="J225" s="17">
        <f t="shared" ca="1" si="38"/>
        <v>18.449999999999982</v>
      </c>
      <c r="K225" s="22" t="str">
        <f t="shared" ca="1" si="39"/>
        <v>A5</v>
      </c>
      <c r="L225" s="22" t="s">
        <v>20</v>
      </c>
    </row>
    <row r="226" spans="2:12" x14ac:dyDescent="0.3">
      <c r="B226" s="22">
        <f t="shared" si="30"/>
        <v>219</v>
      </c>
      <c r="C226" s="11">
        <f t="shared" ca="1" si="31"/>
        <v>44464</v>
      </c>
      <c r="D226" s="22" t="str">
        <f t="shared" ca="1" si="32"/>
        <v>CARRO MÉDIO</v>
      </c>
      <c r="E226" s="22" t="str">
        <f t="shared" ca="1" si="33"/>
        <v>GJPE-3686</v>
      </c>
      <c r="F226" s="20" t="str">
        <f t="shared" ca="1" si="34"/>
        <v>09:14</v>
      </c>
      <c r="G226" s="20" t="str">
        <f t="shared" ca="1" si="35"/>
        <v>13:47</v>
      </c>
      <c r="H226" s="20">
        <f t="shared" ca="1" si="36"/>
        <v>0.18958333333333333</v>
      </c>
      <c r="I226" s="22" t="str">
        <f t="shared" ca="1" si="37"/>
        <v>Dinheiro</v>
      </c>
      <c r="J226" s="17">
        <f t="shared" ca="1" si="38"/>
        <v>68.25</v>
      </c>
      <c r="K226" s="22" t="str">
        <f t="shared" ca="1" si="39"/>
        <v>C5</v>
      </c>
      <c r="L226" s="22" t="s">
        <v>20</v>
      </c>
    </row>
    <row r="227" spans="2:12" x14ac:dyDescent="0.3">
      <c r="B227" s="22">
        <f t="shared" si="30"/>
        <v>220</v>
      </c>
      <c r="C227" s="11">
        <f t="shared" ca="1" si="31"/>
        <v>44389</v>
      </c>
      <c r="D227" s="22" t="str">
        <f t="shared" ca="1" si="32"/>
        <v>CARRO GRANDE</v>
      </c>
      <c r="E227" s="22" t="str">
        <f t="shared" ca="1" si="33"/>
        <v>VFSK-4146</v>
      </c>
      <c r="F227" s="20" t="str">
        <f t="shared" ca="1" si="34"/>
        <v>08:47</v>
      </c>
      <c r="G227" s="20" t="str">
        <f t="shared" ca="1" si="35"/>
        <v>15:50</v>
      </c>
      <c r="H227" s="20">
        <f t="shared" ca="1" si="36"/>
        <v>0.29375000000000001</v>
      </c>
      <c r="I227" s="22" t="str">
        <f t="shared" ca="1" si="37"/>
        <v>Cartão</v>
      </c>
      <c r="J227" s="17">
        <f t="shared" ca="1" si="38"/>
        <v>141</v>
      </c>
      <c r="K227" s="22" t="str">
        <f t="shared" ca="1" si="39"/>
        <v>B3</v>
      </c>
      <c r="L227" s="22" t="s">
        <v>20</v>
      </c>
    </row>
    <row r="228" spans="2:12" x14ac:dyDescent="0.3">
      <c r="B228" s="22">
        <f t="shared" si="30"/>
        <v>221</v>
      </c>
      <c r="C228" s="11">
        <f t="shared" ca="1" si="31"/>
        <v>44395</v>
      </c>
      <c r="D228" s="22" t="str">
        <f t="shared" ca="1" si="32"/>
        <v>CARRO PEQUENO</v>
      </c>
      <c r="E228" s="22" t="str">
        <f t="shared" ca="1" si="33"/>
        <v>AMYT-2629</v>
      </c>
      <c r="F228" s="20" t="str">
        <f t="shared" ca="1" si="34"/>
        <v>07:03</v>
      </c>
      <c r="G228" s="20" t="str">
        <f t="shared" ca="1" si="35"/>
        <v>14:02</v>
      </c>
      <c r="H228" s="20">
        <f t="shared" ca="1" si="36"/>
        <v>0.29097222222222224</v>
      </c>
      <c r="I228" s="22" t="str">
        <f t="shared" ca="1" si="37"/>
        <v>Dinheiro</v>
      </c>
      <c r="J228" s="17">
        <f t="shared" ca="1" si="38"/>
        <v>83.800000000000011</v>
      </c>
      <c r="K228" s="22" t="str">
        <f t="shared" ca="1" si="39"/>
        <v>B2</v>
      </c>
      <c r="L228" s="22" t="s">
        <v>20</v>
      </c>
    </row>
    <row r="229" spans="2:12" x14ac:dyDescent="0.3">
      <c r="B229" s="22">
        <f t="shared" si="30"/>
        <v>222</v>
      </c>
      <c r="C229" s="11">
        <f t="shared" ca="1" si="31"/>
        <v>44426</v>
      </c>
      <c r="D229" s="22" t="str">
        <f t="shared" ca="1" si="32"/>
        <v>MOTO</v>
      </c>
      <c r="E229" s="22" t="str">
        <f t="shared" ca="1" si="33"/>
        <v>PCUN-9157</v>
      </c>
      <c r="F229" s="20" t="str">
        <f t="shared" ca="1" si="34"/>
        <v>07:51</v>
      </c>
      <c r="G229" s="20" t="str">
        <f t="shared" ca="1" si="35"/>
        <v>12:52</v>
      </c>
      <c r="H229" s="20">
        <f t="shared" ca="1" si="36"/>
        <v>0.20902777777777776</v>
      </c>
      <c r="I229" s="22" t="str">
        <f t="shared" ca="1" si="37"/>
        <v>Dinheiro</v>
      </c>
      <c r="J229" s="17">
        <f t="shared" ca="1" si="38"/>
        <v>45.149999999999991</v>
      </c>
      <c r="K229" s="22" t="str">
        <f t="shared" ca="1" si="39"/>
        <v>C1</v>
      </c>
      <c r="L229" s="22" t="s">
        <v>20</v>
      </c>
    </row>
    <row r="230" spans="2:12" x14ac:dyDescent="0.3">
      <c r="B230" s="22">
        <f t="shared" si="30"/>
        <v>223</v>
      </c>
      <c r="C230" s="11">
        <f t="shared" ca="1" si="31"/>
        <v>44443</v>
      </c>
      <c r="D230" s="22" t="str">
        <f t="shared" ca="1" si="32"/>
        <v>CARRO GRANDE</v>
      </c>
      <c r="E230" s="22" t="str">
        <f t="shared" ca="1" si="33"/>
        <v>MRWU-5665</v>
      </c>
      <c r="F230" s="20" t="str">
        <f t="shared" ca="1" si="34"/>
        <v>08:31</v>
      </c>
      <c r="G230" s="20" t="str">
        <f t="shared" ca="1" si="35"/>
        <v>13:55</v>
      </c>
      <c r="H230" s="20">
        <f t="shared" ca="1" si="36"/>
        <v>0.22499999999999992</v>
      </c>
      <c r="I230" s="22" t="str">
        <f t="shared" ca="1" si="37"/>
        <v>Dinheiro</v>
      </c>
      <c r="J230" s="17">
        <f t="shared" ca="1" si="38"/>
        <v>107.99999999999997</v>
      </c>
      <c r="K230" s="22" t="str">
        <f t="shared" ca="1" si="39"/>
        <v>C5</v>
      </c>
      <c r="L230" s="22" t="s">
        <v>20</v>
      </c>
    </row>
    <row r="231" spans="2:12" x14ac:dyDescent="0.3">
      <c r="B231" s="22">
        <f t="shared" si="30"/>
        <v>224</v>
      </c>
      <c r="C231" s="11">
        <f t="shared" ca="1" si="31"/>
        <v>44449</v>
      </c>
      <c r="D231" s="22" t="str">
        <f t="shared" ca="1" si="32"/>
        <v>CARRO PEQUENO</v>
      </c>
      <c r="E231" s="22" t="str">
        <f t="shared" ca="1" si="33"/>
        <v>TQTL-4839</v>
      </c>
      <c r="F231" s="20" t="str">
        <f t="shared" ca="1" si="34"/>
        <v>07:55</v>
      </c>
      <c r="G231" s="20" t="str">
        <f t="shared" ca="1" si="35"/>
        <v>14:12</v>
      </c>
      <c r="H231" s="20">
        <f t="shared" ca="1" si="36"/>
        <v>0.26180555555555557</v>
      </c>
      <c r="I231" s="22" t="str">
        <f t="shared" ca="1" si="37"/>
        <v>Dinheiro</v>
      </c>
      <c r="J231" s="17">
        <f t="shared" ca="1" si="38"/>
        <v>75.400000000000006</v>
      </c>
      <c r="K231" s="22" t="str">
        <f t="shared" ca="1" si="39"/>
        <v>A4</v>
      </c>
      <c r="L231" s="22" t="s">
        <v>20</v>
      </c>
    </row>
    <row r="232" spans="2:12" x14ac:dyDescent="0.3">
      <c r="B232" s="22">
        <f t="shared" si="30"/>
        <v>225</v>
      </c>
      <c r="C232" s="11">
        <f t="shared" ca="1" si="31"/>
        <v>44388</v>
      </c>
      <c r="D232" s="22" t="str">
        <f t="shared" ca="1" si="32"/>
        <v>CARRO MÉDIO</v>
      </c>
      <c r="E232" s="22" t="str">
        <f t="shared" ca="1" si="33"/>
        <v>BFKW-9079</v>
      </c>
      <c r="F232" s="20" t="str">
        <f t="shared" ca="1" si="34"/>
        <v>08:04</v>
      </c>
      <c r="G232" s="20" t="str">
        <f t="shared" ca="1" si="35"/>
        <v>12:54</v>
      </c>
      <c r="H232" s="20">
        <f t="shared" ca="1" si="36"/>
        <v>0.2013888888888889</v>
      </c>
      <c r="I232" s="22" t="str">
        <f t="shared" ca="1" si="37"/>
        <v>Cartão</v>
      </c>
      <c r="J232" s="17">
        <f t="shared" ca="1" si="38"/>
        <v>72.500000000000014</v>
      </c>
      <c r="K232" s="22" t="str">
        <f t="shared" ca="1" si="39"/>
        <v>B4</v>
      </c>
      <c r="L232" s="22" t="s">
        <v>20</v>
      </c>
    </row>
    <row r="233" spans="2:12" x14ac:dyDescent="0.3">
      <c r="B233" s="22">
        <f t="shared" si="30"/>
        <v>226</v>
      </c>
      <c r="C233" s="11">
        <f t="shared" ca="1" si="31"/>
        <v>44394</v>
      </c>
      <c r="D233" s="22" t="str">
        <f t="shared" ca="1" si="32"/>
        <v>MOTO</v>
      </c>
      <c r="E233" s="22" t="str">
        <f t="shared" ca="1" si="33"/>
        <v>NWYT-2399</v>
      </c>
      <c r="F233" s="20" t="str">
        <f t="shared" ca="1" si="34"/>
        <v>07:32</v>
      </c>
      <c r="G233" s="20" t="str">
        <f t="shared" ca="1" si="35"/>
        <v>14:10</v>
      </c>
      <c r="H233" s="20">
        <f t="shared" ca="1" si="36"/>
        <v>0.27638888888888891</v>
      </c>
      <c r="I233" s="22" t="str">
        <f t="shared" ca="1" si="37"/>
        <v>Dinheiro</v>
      </c>
      <c r="J233" s="17">
        <f t="shared" ca="1" si="38"/>
        <v>59.7</v>
      </c>
      <c r="K233" s="22" t="str">
        <f t="shared" ca="1" si="39"/>
        <v>A2</v>
      </c>
      <c r="L233" s="22" t="s">
        <v>20</v>
      </c>
    </row>
    <row r="234" spans="2:12" x14ac:dyDescent="0.3">
      <c r="B234" s="22">
        <f t="shared" si="30"/>
        <v>227</v>
      </c>
      <c r="C234" s="11">
        <f t="shared" ca="1" si="31"/>
        <v>44355</v>
      </c>
      <c r="D234" s="22" t="str">
        <f t="shared" ca="1" si="32"/>
        <v>CARRO GRANDE</v>
      </c>
      <c r="E234" s="22" t="str">
        <f t="shared" ca="1" si="33"/>
        <v>WOQD-5595</v>
      </c>
      <c r="F234" s="20" t="str">
        <f t="shared" ca="1" si="34"/>
        <v>11:55</v>
      </c>
      <c r="G234" s="20" t="str">
        <f t="shared" ca="1" si="35"/>
        <v>12:24</v>
      </c>
      <c r="H234" s="20">
        <f t="shared" ca="1" si="36"/>
        <v>2.0138888888888984E-2</v>
      </c>
      <c r="I234" s="22" t="str">
        <f t="shared" ca="1" si="37"/>
        <v>Dinheiro</v>
      </c>
      <c r="J234" s="17">
        <f t="shared" ca="1" si="38"/>
        <v>9.6666666666667123</v>
      </c>
      <c r="K234" s="22" t="str">
        <f t="shared" ca="1" si="39"/>
        <v>B4</v>
      </c>
      <c r="L234" s="22" t="s">
        <v>20</v>
      </c>
    </row>
    <row r="235" spans="2:12" x14ac:dyDescent="0.3">
      <c r="B235" s="22">
        <f t="shared" si="30"/>
        <v>228</v>
      </c>
      <c r="C235" s="11">
        <f t="shared" ca="1" si="31"/>
        <v>44394</v>
      </c>
      <c r="D235" s="22" t="str">
        <f t="shared" ca="1" si="32"/>
        <v>CARRO GRANDE</v>
      </c>
      <c r="E235" s="22" t="str">
        <f t="shared" ca="1" si="33"/>
        <v>LFLQ-2348</v>
      </c>
      <c r="F235" s="20" t="str">
        <f t="shared" ca="1" si="34"/>
        <v>09:56</v>
      </c>
      <c r="G235" s="20" t="str">
        <f t="shared" ca="1" si="35"/>
        <v>13:52</v>
      </c>
      <c r="H235" s="20">
        <f t="shared" ca="1" si="36"/>
        <v>0.16388888888888892</v>
      </c>
      <c r="I235" s="22" t="str">
        <f t="shared" ca="1" si="37"/>
        <v>Dinheiro</v>
      </c>
      <c r="J235" s="17">
        <f t="shared" ca="1" si="38"/>
        <v>78.666666666666686</v>
      </c>
      <c r="K235" s="22" t="str">
        <f t="shared" ca="1" si="39"/>
        <v>A3</v>
      </c>
      <c r="L235" s="22" t="s">
        <v>20</v>
      </c>
    </row>
    <row r="236" spans="2:12" x14ac:dyDescent="0.3">
      <c r="B236" s="22">
        <f t="shared" si="30"/>
        <v>229</v>
      </c>
      <c r="C236" s="11">
        <f t="shared" ca="1" si="31"/>
        <v>44361</v>
      </c>
      <c r="D236" s="22" t="str">
        <f t="shared" ca="1" si="32"/>
        <v>CARRO PEQUENO</v>
      </c>
      <c r="E236" s="22" t="str">
        <f t="shared" ca="1" si="33"/>
        <v>PACC-6268</v>
      </c>
      <c r="F236" s="20" t="str">
        <f t="shared" ca="1" si="34"/>
        <v>11:26</v>
      </c>
      <c r="G236" s="20" t="str">
        <f t="shared" ca="1" si="35"/>
        <v>13:21</v>
      </c>
      <c r="H236" s="20">
        <f t="shared" ca="1" si="36"/>
        <v>7.9861111111111105E-2</v>
      </c>
      <c r="I236" s="22" t="str">
        <f t="shared" ca="1" si="37"/>
        <v>Cartão</v>
      </c>
      <c r="J236" s="17">
        <f t="shared" ca="1" si="38"/>
        <v>23</v>
      </c>
      <c r="K236" s="22" t="str">
        <f t="shared" ca="1" si="39"/>
        <v>A5</v>
      </c>
      <c r="L236" s="22" t="s">
        <v>20</v>
      </c>
    </row>
    <row r="237" spans="2:12" x14ac:dyDescent="0.3">
      <c r="B237" s="22">
        <f t="shared" si="30"/>
        <v>230</v>
      </c>
      <c r="C237" s="11">
        <f t="shared" ca="1" si="31"/>
        <v>44430</v>
      </c>
      <c r="D237" s="22" t="str">
        <f t="shared" ca="1" si="32"/>
        <v>CARRO PEQUENO</v>
      </c>
      <c r="E237" s="22" t="str">
        <f t="shared" ca="1" si="33"/>
        <v>YFQL-3191</v>
      </c>
      <c r="F237" s="20" t="str">
        <f t="shared" ca="1" si="34"/>
        <v>07:28</v>
      </c>
      <c r="G237" s="20" t="str">
        <f t="shared" ca="1" si="35"/>
        <v>13:37</v>
      </c>
      <c r="H237" s="20">
        <f t="shared" ca="1" si="36"/>
        <v>0.25624999999999998</v>
      </c>
      <c r="I237" s="22" t="str">
        <f t="shared" ca="1" si="37"/>
        <v>Dinheiro</v>
      </c>
      <c r="J237" s="17">
        <f t="shared" ca="1" si="38"/>
        <v>73.8</v>
      </c>
      <c r="K237" s="22" t="str">
        <f t="shared" ca="1" si="39"/>
        <v>C3</v>
      </c>
      <c r="L237" s="22" t="s">
        <v>20</v>
      </c>
    </row>
    <row r="238" spans="2:12" x14ac:dyDescent="0.3">
      <c r="B238" s="22">
        <f t="shared" si="30"/>
        <v>231</v>
      </c>
      <c r="C238" s="11">
        <f t="shared" ca="1" si="31"/>
        <v>44420</v>
      </c>
      <c r="D238" s="22" t="str">
        <f t="shared" ca="1" si="32"/>
        <v>CARRO GRANDE</v>
      </c>
      <c r="E238" s="22" t="str">
        <f t="shared" ca="1" si="33"/>
        <v>DGLP-6622</v>
      </c>
      <c r="F238" s="20" t="str">
        <f t="shared" ca="1" si="34"/>
        <v>08:58</v>
      </c>
      <c r="G238" s="20" t="str">
        <f t="shared" ca="1" si="35"/>
        <v>13:51</v>
      </c>
      <c r="H238" s="20">
        <f t="shared" ca="1" si="36"/>
        <v>0.20347222222222217</v>
      </c>
      <c r="I238" s="22" t="str">
        <f t="shared" ca="1" si="37"/>
        <v>Dinheiro</v>
      </c>
      <c r="J238" s="17">
        <f t="shared" ca="1" si="38"/>
        <v>97.666666666666643</v>
      </c>
      <c r="K238" s="22" t="str">
        <f t="shared" ca="1" si="39"/>
        <v>A5</v>
      </c>
      <c r="L238" s="22" t="s">
        <v>20</v>
      </c>
    </row>
    <row r="239" spans="2:12" x14ac:dyDescent="0.3">
      <c r="B239" s="22">
        <f t="shared" si="30"/>
        <v>232</v>
      </c>
      <c r="C239" s="11">
        <f t="shared" ca="1" si="31"/>
        <v>44399</v>
      </c>
      <c r="D239" s="22" t="str">
        <f t="shared" ca="1" si="32"/>
        <v>MOTO</v>
      </c>
      <c r="E239" s="22" t="str">
        <f t="shared" ca="1" si="33"/>
        <v>NHHR-4916</v>
      </c>
      <c r="F239" s="20" t="str">
        <f t="shared" ca="1" si="34"/>
        <v>08:37</v>
      </c>
      <c r="G239" s="20" t="str">
        <f t="shared" ca="1" si="35"/>
        <v>15:11</v>
      </c>
      <c r="H239" s="20">
        <f t="shared" ca="1" si="36"/>
        <v>0.27361111111111108</v>
      </c>
      <c r="I239" s="22" t="str">
        <f t="shared" ca="1" si="37"/>
        <v>Dinheiro</v>
      </c>
      <c r="J239" s="17">
        <f t="shared" ca="1" si="38"/>
        <v>59.099999999999994</v>
      </c>
      <c r="K239" s="22" t="str">
        <f t="shared" ca="1" si="39"/>
        <v>C2</v>
      </c>
      <c r="L239" s="22" t="s">
        <v>20</v>
      </c>
    </row>
    <row r="240" spans="2:12" x14ac:dyDescent="0.3">
      <c r="B240" s="22">
        <f t="shared" si="30"/>
        <v>233</v>
      </c>
      <c r="C240" s="11">
        <f t="shared" ca="1" si="31"/>
        <v>44454</v>
      </c>
      <c r="D240" s="22" t="str">
        <f t="shared" ca="1" si="32"/>
        <v>CARRO PEQUENO</v>
      </c>
      <c r="E240" s="22" t="str">
        <f t="shared" ca="1" si="33"/>
        <v>NKDX-2493</v>
      </c>
      <c r="F240" s="20" t="str">
        <f t="shared" ca="1" si="34"/>
        <v>11:41</v>
      </c>
      <c r="G240" s="20" t="str">
        <f t="shared" ca="1" si="35"/>
        <v>15:56</v>
      </c>
      <c r="H240" s="20">
        <f t="shared" ca="1" si="36"/>
        <v>0.17708333333333331</v>
      </c>
      <c r="I240" s="22" t="str">
        <f t="shared" ca="1" si="37"/>
        <v>Dinheiro</v>
      </c>
      <c r="J240" s="17">
        <f t="shared" ca="1" si="38"/>
        <v>51</v>
      </c>
      <c r="K240" s="22" t="str">
        <f t="shared" ca="1" si="39"/>
        <v>A4</v>
      </c>
      <c r="L240" s="22" t="s">
        <v>20</v>
      </c>
    </row>
    <row r="241" spans="2:12" x14ac:dyDescent="0.3">
      <c r="B241" s="22">
        <f t="shared" si="30"/>
        <v>234</v>
      </c>
      <c r="C241" s="11">
        <f t="shared" ca="1" si="31"/>
        <v>44369</v>
      </c>
      <c r="D241" s="22" t="str">
        <f t="shared" ca="1" si="32"/>
        <v>MOTO</v>
      </c>
      <c r="E241" s="22" t="str">
        <f t="shared" ca="1" si="33"/>
        <v>GKDV-6856</v>
      </c>
      <c r="F241" s="20" t="str">
        <f t="shared" ca="1" si="34"/>
        <v>08:52</v>
      </c>
      <c r="G241" s="20" t="str">
        <f t="shared" ca="1" si="35"/>
        <v>15:45</v>
      </c>
      <c r="H241" s="20">
        <f t="shared" ca="1" si="36"/>
        <v>0.28680555555555554</v>
      </c>
      <c r="I241" s="22" t="str">
        <f t="shared" ca="1" si="37"/>
        <v>Dinheiro</v>
      </c>
      <c r="J241" s="17">
        <f t="shared" ca="1" si="38"/>
        <v>61.949999999999996</v>
      </c>
      <c r="K241" s="22" t="str">
        <f t="shared" ca="1" si="39"/>
        <v>C3</v>
      </c>
      <c r="L241" s="22" t="s">
        <v>20</v>
      </c>
    </row>
    <row r="242" spans="2:12" x14ac:dyDescent="0.3">
      <c r="B242" s="22">
        <f t="shared" si="30"/>
        <v>235</v>
      </c>
      <c r="C242" s="11">
        <f t="shared" ca="1" si="31"/>
        <v>44422</v>
      </c>
      <c r="D242" s="22" t="str">
        <f t="shared" ca="1" si="32"/>
        <v>MOTO</v>
      </c>
      <c r="E242" s="22" t="str">
        <f t="shared" ca="1" si="33"/>
        <v>ZUNG-5238</v>
      </c>
      <c r="F242" s="20" t="str">
        <f t="shared" ca="1" si="34"/>
        <v>07:07</v>
      </c>
      <c r="G242" s="20" t="str">
        <f t="shared" ca="1" si="35"/>
        <v>14:43</v>
      </c>
      <c r="H242" s="20">
        <f t="shared" ca="1" si="36"/>
        <v>0.31666666666666671</v>
      </c>
      <c r="I242" s="22" t="str">
        <f t="shared" ca="1" si="37"/>
        <v>Dinheiro</v>
      </c>
      <c r="J242" s="17">
        <f t="shared" ca="1" si="38"/>
        <v>68.400000000000006</v>
      </c>
      <c r="K242" s="22" t="str">
        <f t="shared" ca="1" si="39"/>
        <v>A2</v>
      </c>
      <c r="L242" s="22" t="s">
        <v>20</v>
      </c>
    </row>
    <row r="243" spans="2:12" x14ac:dyDescent="0.3">
      <c r="B243" s="22">
        <f t="shared" si="30"/>
        <v>236</v>
      </c>
      <c r="C243" s="11">
        <f t="shared" ca="1" si="31"/>
        <v>44400</v>
      </c>
      <c r="D243" s="22" t="str">
        <f t="shared" ca="1" si="32"/>
        <v>CARRO PEQUENO</v>
      </c>
      <c r="E243" s="22" t="str">
        <f t="shared" ca="1" si="33"/>
        <v>OHCQ-8927</v>
      </c>
      <c r="F243" s="20" t="str">
        <f t="shared" ca="1" si="34"/>
        <v>11:44</v>
      </c>
      <c r="G243" s="20" t="str">
        <f t="shared" ca="1" si="35"/>
        <v>15:59</v>
      </c>
      <c r="H243" s="20">
        <f t="shared" ca="1" si="36"/>
        <v>0.17708333333333331</v>
      </c>
      <c r="I243" s="22" t="str">
        <f t="shared" ca="1" si="37"/>
        <v>Cartão</v>
      </c>
      <c r="J243" s="17">
        <f t="shared" ca="1" si="38"/>
        <v>51</v>
      </c>
      <c r="K243" s="22" t="str">
        <f t="shared" ca="1" si="39"/>
        <v>A4</v>
      </c>
      <c r="L243" s="22" t="s">
        <v>20</v>
      </c>
    </row>
    <row r="244" spans="2:12" x14ac:dyDescent="0.3">
      <c r="B244" s="22">
        <f t="shared" si="30"/>
        <v>237</v>
      </c>
      <c r="C244" s="11">
        <f t="shared" ca="1" si="31"/>
        <v>44454</v>
      </c>
      <c r="D244" s="22" t="str">
        <f t="shared" ca="1" si="32"/>
        <v>CARRO PEQUENO</v>
      </c>
      <c r="E244" s="22" t="str">
        <f t="shared" ca="1" si="33"/>
        <v>OSFX-4902</v>
      </c>
      <c r="F244" s="20" t="str">
        <f t="shared" ca="1" si="34"/>
        <v>10:25</v>
      </c>
      <c r="G244" s="20" t="str">
        <f t="shared" ca="1" si="35"/>
        <v>13:44</v>
      </c>
      <c r="H244" s="20">
        <f t="shared" ca="1" si="36"/>
        <v>0.13819444444444445</v>
      </c>
      <c r="I244" s="22" t="str">
        <f t="shared" ca="1" si="37"/>
        <v>Cartão</v>
      </c>
      <c r="J244" s="17">
        <f t="shared" ca="1" si="38"/>
        <v>39.800000000000004</v>
      </c>
      <c r="K244" s="22" t="str">
        <f t="shared" ca="1" si="39"/>
        <v>A5</v>
      </c>
      <c r="L244" s="22" t="s">
        <v>20</v>
      </c>
    </row>
    <row r="245" spans="2:12" x14ac:dyDescent="0.3">
      <c r="B245" s="22">
        <f t="shared" si="30"/>
        <v>238</v>
      </c>
      <c r="C245" s="11">
        <f t="shared" ca="1" si="31"/>
        <v>44434</v>
      </c>
      <c r="D245" s="22" t="str">
        <f t="shared" ca="1" si="32"/>
        <v>CARRO PEQUENO</v>
      </c>
      <c r="E245" s="22" t="str">
        <f t="shared" ca="1" si="33"/>
        <v>CBTC-3832</v>
      </c>
      <c r="F245" s="20" t="str">
        <f t="shared" ca="1" si="34"/>
        <v>09:56</v>
      </c>
      <c r="G245" s="20" t="str">
        <f t="shared" ca="1" si="35"/>
        <v>14:53</v>
      </c>
      <c r="H245" s="20">
        <f t="shared" ca="1" si="36"/>
        <v>0.20624999999999999</v>
      </c>
      <c r="I245" s="22" t="str">
        <f t="shared" ca="1" si="37"/>
        <v>Dinheiro</v>
      </c>
      <c r="J245" s="17">
        <f t="shared" ca="1" si="38"/>
        <v>59.399999999999991</v>
      </c>
      <c r="K245" s="22" t="str">
        <f t="shared" ca="1" si="39"/>
        <v>A2</v>
      </c>
      <c r="L245" s="22" t="s">
        <v>20</v>
      </c>
    </row>
    <row r="246" spans="2:12" x14ac:dyDescent="0.3">
      <c r="B246" s="22">
        <f t="shared" si="30"/>
        <v>239</v>
      </c>
      <c r="C246" s="11">
        <f t="shared" ca="1" si="31"/>
        <v>44430</v>
      </c>
      <c r="D246" s="22" t="str">
        <f t="shared" ca="1" si="32"/>
        <v>MOTO</v>
      </c>
      <c r="E246" s="22" t="str">
        <f t="shared" ca="1" si="33"/>
        <v>GHBF-9579</v>
      </c>
      <c r="F246" s="20" t="str">
        <f t="shared" ca="1" si="34"/>
        <v>10:40</v>
      </c>
      <c r="G246" s="20" t="str">
        <f t="shared" ca="1" si="35"/>
        <v>13:38</v>
      </c>
      <c r="H246" s="20">
        <f t="shared" ca="1" si="36"/>
        <v>0.12361111111111112</v>
      </c>
      <c r="I246" s="22" t="str">
        <f t="shared" ca="1" si="37"/>
        <v>Dinheiro</v>
      </c>
      <c r="J246" s="17">
        <f t="shared" ca="1" si="38"/>
        <v>26.700000000000003</v>
      </c>
      <c r="K246" s="22" t="str">
        <f t="shared" ca="1" si="39"/>
        <v>A2</v>
      </c>
      <c r="L246" s="22" t="s">
        <v>20</v>
      </c>
    </row>
    <row r="247" spans="2:12" x14ac:dyDescent="0.3">
      <c r="B247" s="22">
        <f t="shared" si="30"/>
        <v>240</v>
      </c>
      <c r="C247" s="11">
        <f t="shared" ca="1" si="31"/>
        <v>44362</v>
      </c>
      <c r="D247" s="22" t="str">
        <f t="shared" ca="1" si="32"/>
        <v>MOTO</v>
      </c>
      <c r="E247" s="22" t="str">
        <f t="shared" ca="1" si="33"/>
        <v>RNZT-6077</v>
      </c>
      <c r="F247" s="20" t="str">
        <f t="shared" ca="1" si="34"/>
        <v>11:12</v>
      </c>
      <c r="G247" s="20" t="str">
        <f t="shared" ca="1" si="35"/>
        <v>13:22</v>
      </c>
      <c r="H247" s="20">
        <f t="shared" ca="1" si="36"/>
        <v>9.0277777777777846E-2</v>
      </c>
      <c r="I247" s="22" t="str">
        <f t="shared" ca="1" si="37"/>
        <v>Cartão</v>
      </c>
      <c r="J247" s="17">
        <f t="shared" ca="1" si="38"/>
        <v>19.500000000000014</v>
      </c>
      <c r="K247" s="22" t="str">
        <f t="shared" ca="1" si="39"/>
        <v>B1</v>
      </c>
      <c r="L247" s="22" t="s">
        <v>20</v>
      </c>
    </row>
    <row r="248" spans="2:12" x14ac:dyDescent="0.3">
      <c r="B248" s="22">
        <f t="shared" si="30"/>
        <v>241</v>
      </c>
      <c r="C248" s="11">
        <f t="shared" ca="1" si="31"/>
        <v>44395</v>
      </c>
      <c r="D248" s="22" t="str">
        <f t="shared" ca="1" si="32"/>
        <v>CARRO GRANDE</v>
      </c>
      <c r="E248" s="22" t="str">
        <f t="shared" ca="1" si="33"/>
        <v>PDDL-2966</v>
      </c>
      <c r="F248" s="20" t="str">
        <f t="shared" ca="1" si="34"/>
        <v>08:27</v>
      </c>
      <c r="G248" s="20" t="str">
        <f t="shared" ca="1" si="35"/>
        <v>15:10</v>
      </c>
      <c r="H248" s="20">
        <f t="shared" ca="1" si="36"/>
        <v>0.27986111111111112</v>
      </c>
      <c r="I248" s="22" t="str">
        <f t="shared" ca="1" si="37"/>
        <v>Cartão</v>
      </c>
      <c r="J248" s="17">
        <f t="shared" ca="1" si="38"/>
        <v>134.33333333333334</v>
      </c>
      <c r="K248" s="22" t="str">
        <f t="shared" ca="1" si="39"/>
        <v>B3</v>
      </c>
      <c r="L248" s="22" t="s">
        <v>20</v>
      </c>
    </row>
    <row r="249" spans="2:12" x14ac:dyDescent="0.3">
      <c r="B249" s="22">
        <f t="shared" si="30"/>
        <v>242</v>
      </c>
      <c r="C249" s="11">
        <f t="shared" ca="1" si="31"/>
        <v>44408</v>
      </c>
      <c r="D249" s="22" t="str">
        <f t="shared" ca="1" si="32"/>
        <v>CARRO PEQUENO</v>
      </c>
      <c r="E249" s="22" t="str">
        <f t="shared" ca="1" si="33"/>
        <v>IFGV-5897</v>
      </c>
      <c r="F249" s="20" t="str">
        <f t="shared" ca="1" si="34"/>
        <v>08:18</v>
      </c>
      <c r="G249" s="20" t="str">
        <f t="shared" ca="1" si="35"/>
        <v>12:01</v>
      </c>
      <c r="H249" s="20">
        <f t="shared" ca="1" si="36"/>
        <v>0.15486111111111106</v>
      </c>
      <c r="I249" s="22" t="str">
        <f t="shared" ca="1" si="37"/>
        <v>Cartão</v>
      </c>
      <c r="J249" s="17">
        <f t="shared" ca="1" si="38"/>
        <v>44.599999999999987</v>
      </c>
      <c r="K249" s="22" t="str">
        <f t="shared" ca="1" si="39"/>
        <v>B3</v>
      </c>
      <c r="L249" s="22" t="s">
        <v>20</v>
      </c>
    </row>
    <row r="250" spans="2:12" x14ac:dyDescent="0.3">
      <c r="B250" s="22">
        <f t="shared" si="30"/>
        <v>243</v>
      </c>
      <c r="C250" s="11">
        <f t="shared" ca="1" si="31"/>
        <v>44467</v>
      </c>
      <c r="D250" s="22" t="str">
        <f t="shared" ca="1" si="32"/>
        <v>CARRO PEQUENO</v>
      </c>
      <c r="E250" s="22" t="str">
        <f t="shared" ca="1" si="33"/>
        <v>VFNX-9740</v>
      </c>
      <c r="F250" s="20" t="str">
        <f t="shared" ca="1" si="34"/>
        <v>08:21</v>
      </c>
      <c r="G250" s="20" t="str">
        <f t="shared" ca="1" si="35"/>
        <v>14:45</v>
      </c>
      <c r="H250" s="20">
        <f t="shared" ca="1" si="36"/>
        <v>0.26666666666666672</v>
      </c>
      <c r="I250" s="22" t="str">
        <f t="shared" ca="1" si="37"/>
        <v>Dinheiro</v>
      </c>
      <c r="J250" s="17">
        <f t="shared" ca="1" si="38"/>
        <v>76.800000000000011</v>
      </c>
      <c r="K250" s="22" t="str">
        <f t="shared" ca="1" si="39"/>
        <v>A5</v>
      </c>
      <c r="L250" s="22" t="s">
        <v>20</v>
      </c>
    </row>
    <row r="251" spans="2:12" x14ac:dyDescent="0.3">
      <c r="B251" s="22">
        <f t="shared" si="30"/>
        <v>244</v>
      </c>
      <c r="C251" s="11">
        <f t="shared" ca="1" si="31"/>
        <v>44439</v>
      </c>
      <c r="D251" s="22" t="str">
        <f t="shared" ca="1" si="32"/>
        <v>CARRO GRANDE</v>
      </c>
      <c r="E251" s="22" t="str">
        <f t="shared" ca="1" si="33"/>
        <v>IAYX-2464</v>
      </c>
      <c r="F251" s="20" t="str">
        <f t="shared" ca="1" si="34"/>
        <v>08:04</v>
      </c>
      <c r="G251" s="20" t="str">
        <f t="shared" ca="1" si="35"/>
        <v>15:23</v>
      </c>
      <c r="H251" s="20">
        <f t="shared" ca="1" si="36"/>
        <v>0.30486111111111108</v>
      </c>
      <c r="I251" s="22" t="str">
        <f t="shared" ca="1" si="37"/>
        <v>Cartão</v>
      </c>
      <c r="J251" s="17">
        <f t="shared" ca="1" si="38"/>
        <v>146.33333333333331</v>
      </c>
      <c r="K251" s="22" t="str">
        <f t="shared" ca="1" si="39"/>
        <v>C2</v>
      </c>
      <c r="L251" s="22" t="s">
        <v>20</v>
      </c>
    </row>
    <row r="252" spans="2:12" x14ac:dyDescent="0.3">
      <c r="B252" s="22">
        <f t="shared" si="30"/>
        <v>245</v>
      </c>
      <c r="C252" s="11">
        <f t="shared" ca="1" si="31"/>
        <v>44469</v>
      </c>
      <c r="D252" s="22" t="str">
        <f t="shared" ca="1" si="32"/>
        <v>CARRO MÉDIO</v>
      </c>
      <c r="E252" s="22" t="str">
        <f t="shared" ca="1" si="33"/>
        <v>ROSE-3631</v>
      </c>
      <c r="F252" s="20" t="str">
        <f t="shared" ca="1" si="34"/>
        <v>08:59</v>
      </c>
      <c r="G252" s="20" t="str">
        <f t="shared" ca="1" si="35"/>
        <v>13:29</v>
      </c>
      <c r="H252" s="20">
        <f t="shared" ca="1" si="36"/>
        <v>0.18750000000000006</v>
      </c>
      <c r="I252" s="22" t="str">
        <f t="shared" ca="1" si="37"/>
        <v>Cartão</v>
      </c>
      <c r="J252" s="17">
        <f t="shared" ca="1" si="38"/>
        <v>67.500000000000028</v>
      </c>
      <c r="K252" s="22" t="str">
        <f t="shared" ca="1" si="39"/>
        <v>C5</v>
      </c>
      <c r="L252" s="22" t="s">
        <v>20</v>
      </c>
    </row>
    <row r="253" spans="2:12" x14ac:dyDescent="0.3">
      <c r="B253" s="22">
        <f t="shared" si="30"/>
        <v>246</v>
      </c>
      <c r="C253" s="11">
        <f t="shared" ca="1" si="31"/>
        <v>44456</v>
      </c>
      <c r="D253" s="22" t="str">
        <f t="shared" ca="1" si="32"/>
        <v>CARRO MÉDIO</v>
      </c>
      <c r="E253" s="22" t="str">
        <f t="shared" ca="1" si="33"/>
        <v>DAGT-6631</v>
      </c>
      <c r="F253" s="20" t="str">
        <f t="shared" ca="1" si="34"/>
        <v>10:16</v>
      </c>
      <c r="G253" s="20" t="str">
        <f t="shared" ca="1" si="35"/>
        <v>12:22</v>
      </c>
      <c r="H253" s="20">
        <f t="shared" ca="1" si="36"/>
        <v>8.7500000000000022E-2</v>
      </c>
      <c r="I253" s="22" t="str">
        <f t="shared" ca="1" si="37"/>
        <v>Cartão</v>
      </c>
      <c r="J253" s="17">
        <f t="shared" ca="1" si="38"/>
        <v>31.500000000000007</v>
      </c>
      <c r="K253" s="22" t="str">
        <f t="shared" ca="1" si="39"/>
        <v>C1</v>
      </c>
      <c r="L253" s="22" t="s">
        <v>20</v>
      </c>
    </row>
    <row r="254" spans="2:12" x14ac:dyDescent="0.3">
      <c r="B254" s="22">
        <f t="shared" si="30"/>
        <v>247</v>
      </c>
      <c r="C254" s="11">
        <f t="shared" ca="1" si="31"/>
        <v>44384</v>
      </c>
      <c r="D254" s="22" t="str">
        <f t="shared" ca="1" si="32"/>
        <v>CARRO PEQUENO</v>
      </c>
      <c r="E254" s="22" t="str">
        <f t="shared" ca="1" si="33"/>
        <v>UPTC-6107</v>
      </c>
      <c r="F254" s="20" t="str">
        <f t="shared" ca="1" si="34"/>
        <v>08:11</v>
      </c>
      <c r="G254" s="20" t="str">
        <f t="shared" ca="1" si="35"/>
        <v>15:03</v>
      </c>
      <c r="H254" s="20">
        <f t="shared" ca="1" si="36"/>
        <v>0.28611111111111109</v>
      </c>
      <c r="I254" s="22" t="str">
        <f t="shared" ca="1" si="37"/>
        <v>Dinheiro</v>
      </c>
      <c r="J254" s="17">
        <f t="shared" ca="1" si="38"/>
        <v>82.399999999999991</v>
      </c>
      <c r="K254" s="22" t="str">
        <f t="shared" ca="1" si="39"/>
        <v>A1</v>
      </c>
      <c r="L254" s="22" t="s">
        <v>20</v>
      </c>
    </row>
    <row r="255" spans="2:12" x14ac:dyDescent="0.3">
      <c r="B255" s="22">
        <f t="shared" si="30"/>
        <v>248</v>
      </c>
      <c r="C255" s="11">
        <f t="shared" ca="1" si="31"/>
        <v>44383</v>
      </c>
      <c r="D255" s="22" t="str">
        <f t="shared" ca="1" si="32"/>
        <v>CARRO PEQUENO</v>
      </c>
      <c r="E255" s="22" t="str">
        <f t="shared" ca="1" si="33"/>
        <v>FHHI-5389</v>
      </c>
      <c r="F255" s="20" t="str">
        <f t="shared" ca="1" si="34"/>
        <v>11:32</v>
      </c>
      <c r="G255" s="20" t="str">
        <f t="shared" ca="1" si="35"/>
        <v>15:15</v>
      </c>
      <c r="H255" s="20">
        <f t="shared" ca="1" si="36"/>
        <v>0.15486111111111106</v>
      </c>
      <c r="I255" s="22" t="str">
        <f t="shared" ca="1" si="37"/>
        <v>Dinheiro</v>
      </c>
      <c r="J255" s="17">
        <f t="shared" ca="1" si="38"/>
        <v>44.599999999999987</v>
      </c>
      <c r="K255" s="22" t="str">
        <f t="shared" ca="1" si="39"/>
        <v>A3</v>
      </c>
      <c r="L255" s="22" t="s">
        <v>20</v>
      </c>
    </row>
    <row r="256" spans="2:12" x14ac:dyDescent="0.3">
      <c r="B256" s="22">
        <f t="shared" si="30"/>
        <v>249</v>
      </c>
      <c r="C256" s="11">
        <f t="shared" ca="1" si="31"/>
        <v>44404</v>
      </c>
      <c r="D256" s="22" t="str">
        <f t="shared" ca="1" si="32"/>
        <v>CARRO MÉDIO</v>
      </c>
      <c r="E256" s="22" t="str">
        <f t="shared" ca="1" si="33"/>
        <v>DWRQ-6354</v>
      </c>
      <c r="F256" s="20" t="str">
        <f t="shared" ca="1" si="34"/>
        <v>07:05</v>
      </c>
      <c r="G256" s="20" t="str">
        <f t="shared" ca="1" si="35"/>
        <v>14:48</v>
      </c>
      <c r="H256" s="20">
        <f t="shared" ca="1" si="36"/>
        <v>0.3215277777777778</v>
      </c>
      <c r="I256" s="22" t="str">
        <f t="shared" ca="1" si="37"/>
        <v>Dinheiro</v>
      </c>
      <c r="J256" s="17">
        <f t="shared" ca="1" si="38"/>
        <v>115.75</v>
      </c>
      <c r="K256" s="22" t="str">
        <f t="shared" ca="1" si="39"/>
        <v>C1</v>
      </c>
      <c r="L256" s="22" t="s">
        <v>20</v>
      </c>
    </row>
    <row r="257" spans="2:12" x14ac:dyDescent="0.3">
      <c r="B257" s="22">
        <f t="shared" si="30"/>
        <v>250</v>
      </c>
      <c r="C257" s="11">
        <f t="shared" ca="1" si="31"/>
        <v>44410</v>
      </c>
      <c r="D257" s="22" t="str">
        <f t="shared" ca="1" si="32"/>
        <v>MOTO</v>
      </c>
      <c r="E257" s="22" t="str">
        <f t="shared" ca="1" si="33"/>
        <v>HFZC-9441</v>
      </c>
      <c r="F257" s="20" t="str">
        <f t="shared" ca="1" si="34"/>
        <v>10:13</v>
      </c>
      <c r="G257" s="20" t="str">
        <f t="shared" ca="1" si="35"/>
        <v>14:01</v>
      </c>
      <c r="H257" s="20">
        <f t="shared" ca="1" si="36"/>
        <v>0.15833333333333338</v>
      </c>
      <c r="I257" s="22" t="str">
        <f t="shared" ca="1" si="37"/>
        <v>Cartão</v>
      </c>
      <c r="J257" s="17">
        <f t="shared" ca="1" si="38"/>
        <v>34.20000000000001</v>
      </c>
      <c r="K257" s="22" t="str">
        <f t="shared" ca="1" si="39"/>
        <v>B3</v>
      </c>
      <c r="L257" s="22" t="s">
        <v>20</v>
      </c>
    </row>
    <row r="258" spans="2:12" x14ac:dyDescent="0.3">
      <c r="B258" s="22">
        <f t="shared" si="30"/>
        <v>251</v>
      </c>
      <c r="C258" s="11">
        <f t="shared" ca="1" si="31"/>
        <v>44452</v>
      </c>
      <c r="D258" s="22" t="str">
        <f t="shared" ca="1" si="32"/>
        <v>CARRO MÉDIO</v>
      </c>
      <c r="E258" s="22" t="str">
        <f t="shared" ca="1" si="33"/>
        <v>VYSQ-7094</v>
      </c>
      <c r="F258" s="20" t="str">
        <f t="shared" ca="1" si="34"/>
        <v>09:36</v>
      </c>
      <c r="G258" s="20" t="str">
        <f t="shared" ca="1" si="35"/>
        <v>13:24</v>
      </c>
      <c r="H258" s="20">
        <f t="shared" ca="1" si="36"/>
        <v>0.15833333333333338</v>
      </c>
      <c r="I258" s="22" t="str">
        <f t="shared" ca="1" si="37"/>
        <v>Dinheiro</v>
      </c>
      <c r="J258" s="17">
        <f t="shared" ca="1" si="38"/>
        <v>57.000000000000014</v>
      </c>
      <c r="K258" s="22" t="str">
        <f t="shared" ca="1" si="39"/>
        <v>A1</v>
      </c>
      <c r="L258" s="22" t="s">
        <v>20</v>
      </c>
    </row>
    <row r="259" spans="2:12" x14ac:dyDescent="0.3">
      <c r="B259" s="22">
        <f t="shared" si="30"/>
        <v>252</v>
      </c>
      <c r="C259" s="11">
        <f t="shared" ca="1" si="31"/>
        <v>44431</v>
      </c>
      <c r="D259" s="22" t="str">
        <f t="shared" ca="1" si="32"/>
        <v>CARRO MÉDIO</v>
      </c>
      <c r="E259" s="22" t="str">
        <f t="shared" ca="1" si="33"/>
        <v>QSFT-3092</v>
      </c>
      <c r="F259" s="20" t="str">
        <f t="shared" ca="1" si="34"/>
        <v>08:42</v>
      </c>
      <c r="G259" s="20" t="str">
        <f t="shared" ca="1" si="35"/>
        <v>12:29</v>
      </c>
      <c r="H259" s="20">
        <f t="shared" ca="1" si="36"/>
        <v>0.15763888888888883</v>
      </c>
      <c r="I259" s="22" t="str">
        <f t="shared" ca="1" si="37"/>
        <v>Dinheiro</v>
      </c>
      <c r="J259" s="17">
        <f t="shared" ca="1" si="38"/>
        <v>56.749999999999979</v>
      </c>
      <c r="K259" s="22" t="str">
        <f t="shared" ca="1" si="39"/>
        <v>A1</v>
      </c>
      <c r="L259" s="22" t="s">
        <v>20</v>
      </c>
    </row>
    <row r="260" spans="2:12" x14ac:dyDescent="0.3">
      <c r="B260" s="22">
        <f t="shared" si="30"/>
        <v>253</v>
      </c>
      <c r="C260" s="11">
        <f t="shared" ca="1" si="31"/>
        <v>44419</v>
      </c>
      <c r="D260" s="22" t="str">
        <f t="shared" ca="1" si="32"/>
        <v>CARRO GRANDE</v>
      </c>
      <c r="E260" s="22" t="str">
        <f t="shared" ca="1" si="33"/>
        <v>UILP-4963</v>
      </c>
      <c r="F260" s="20" t="str">
        <f t="shared" ca="1" si="34"/>
        <v>07:34</v>
      </c>
      <c r="G260" s="20" t="str">
        <f t="shared" ca="1" si="35"/>
        <v>14:33</v>
      </c>
      <c r="H260" s="20">
        <f t="shared" ca="1" si="36"/>
        <v>0.2909722222222223</v>
      </c>
      <c r="I260" s="22" t="str">
        <f t="shared" ca="1" si="37"/>
        <v>Cartão</v>
      </c>
      <c r="J260" s="17">
        <f t="shared" ca="1" si="38"/>
        <v>139.66666666666671</v>
      </c>
      <c r="K260" s="22" t="str">
        <f t="shared" ca="1" si="39"/>
        <v>B1</v>
      </c>
      <c r="L260" s="22" t="s">
        <v>20</v>
      </c>
    </row>
    <row r="261" spans="2:12" x14ac:dyDescent="0.3">
      <c r="D261" s="23"/>
      <c r="E261" s="23"/>
      <c r="F261" s="21"/>
      <c r="K261" s="23"/>
      <c r="L261" s="2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4D2D6-342D-435A-AC6B-BF121AAE50B5}">
  <sheetPr codeName="PlanBD">
    <tabColor rgb="FF00B050"/>
  </sheetPr>
  <dimension ref="B1:L261"/>
  <sheetViews>
    <sheetView showGridLines="0"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C19" sqref="C19"/>
    </sheetView>
  </sheetViews>
  <sheetFormatPr defaultRowHeight="14.4" x14ac:dyDescent="0.3"/>
  <cols>
    <col min="1" max="1" width="1.88671875" customWidth="1"/>
    <col min="2" max="5" width="18.77734375" style="8" customWidth="1"/>
    <col min="6" max="8" width="18.77734375" style="19" customWidth="1"/>
    <col min="9" max="9" width="18.77734375" style="8" customWidth="1"/>
    <col min="10" max="10" width="18.77734375" style="12" customWidth="1"/>
    <col min="11" max="12" width="18.77734375" style="8" customWidth="1"/>
  </cols>
  <sheetData>
    <row r="1" spans="2:12" ht="15.6" x14ac:dyDescent="0.3">
      <c r="B1"/>
      <c r="C1"/>
      <c r="D1" s="5" t="s">
        <v>5</v>
      </c>
      <c r="E1" s="5" t="s">
        <v>6</v>
      </c>
      <c r="F1"/>
      <c r="G1"/>
      <c r="H1" s="6" t="s">
        <v>12</v>
      </c>
      <c r="I1" s="16" t="s">
        <v>11</v>
      </c>
      <c r="K1"/>
      <c r="L1" s="6" t="s">
        <v>13</v>
      </c>
    </row>
    <row r="2" spans="2:12" x14ac:dyDescent="0.3">
      <c r="B2"/>
      <c r="C2"/>
      <c r="D2" s="3" t="s">
        <v>7</v>
      </c>
      <c r="E2" s="4">
        <v>20</v>
      </c>
      <c r="F2"/>
      <c r="G2"/>
      <c r="H2" s="3">
        <v>0</v>
      </c>
      <c r="I2" s="18">
        <v>0</v>
      </c>
      <c r="K2"/>
      <c r="L2" s="7">
        <v>30</v>
      </c>
    </row>
    <row r="3" spans="2:12" x14ac:dyDescent="0.3">
      <c r="B3"/>
      <c r="C3"/>
      <c r="D3" s="3" t="s">
        <v>8</v>
      </c>
      <c r="E3" s="4">
        <v>15</v>
      </c>
      <c r="F3"/>
      <c r="G3"/>
      <c r="H3"/>
      <c r="I3"/>
      <c r="J3" s="8"/>
      <c r="K3"/>
      <c r="L3"/>
    </row>
    <row r="4" spans="2:12" x14ac:dyDescent="0.3">
      <c r="B4"/>
      <c r="C4"/>
      <c r="D4" s="3" t="s">
        <v>9</v>
      </c>
      <c r="E4" s="4">
        <v>12</v>
      </c>
      <c r="F4"/>
      <c r="G4"/>
      <c r="H4" s="8"/>
      <c r="J4" s="8"/>
    </row>
    <row r="5" spans="2:12" s="1" customFormat="1" ht="18" x14ac:dyDescent="0.35">
      <c r="D5" s="3" t="s">
        <v>10</v>
      </c>
      <c r="E5" s="4">
        <v>9</v>
      </c>
      <c r="H5" s="13"/>
      <c r="I5" s="13"/>
      <c r="J5" s="13"/>
    </row>
    <row r="6" spans="2:12" x14ac:dyDescent="0.3">
      <c r="B6"/>
      <c r="C6"/>
      <c r="D6"/>
      <c r="E6"/>
      <c r="F6"/>
      <c r="G6"/>
      <c r="H6"/>
      <c r="I6"/>
      <c r="J6" s="8"/>
      <c r="K6"/>
      <c r="L6"/>
    </row>
    <row r="7" spans="2:12" ht="18" x14ac:dyDescent="0.35">
      <c r="B7" s="15" t="s">
        <v>0</v>
      </c>
      <c r="C7" s="15" t="s">
        <v>16</v>
      </c>
      <c r="D7" s="15" t="s">
        <v>5</v>
      </c>
      <c r="E7" s="15" t="s">
        <v>1</v>
      </c>
      <c r="F7" s="15" t="s">
        <v>2</v>
      </c>
      <c r="G7" s="15" t="s">
        <v>14</v>
      </c>
      <c r="H7" s="15" t="s">
        <v>15</v>
      </c>
      <c r="I7" s="15" t="s">
        <v>21</v>
      </c>
      <c r="J7" s="15" t="s">
        <v>6</v>
      </c>
      <c r="K7" s="15" t="s">
        <v>3</v>
      </c>
      <c r="L7" s="15" t="s">
        <v>4</v>
      </c>
    </row>
    <row r="8" spans="2:12" x14ac:dyDescent="0.3">
      <c r="B8" s="22"/>
      <c r="C8" s="22"/>
      <c r="D8" s="22"/>
      <c r="E8" s="22"/>
      <c r="F8" s="20"/>
      <c r="G8" s="20"/>
      <c r="H8" s="20"/>
      <c r="I8" s="22"/>
      <c r="J8" s="17"/>
      <c r="K8" s="22"/>
      <c r="L8" s="22"/>
    </row>
    <row r="9" spans="2:12" x14ac:dyDescent="0.3">
      <c r="B9" s="22"/>
      <c r="C9" s="22"/>
      <c r="D9" s="22"/>
      <c r="E9" s="22"/>
      <c r="F9" s="20"/>
      <c r="G9" s="20"/>
      <c r="H9" s="20"/>
      <c r="I9" s="22"/>
      <c r="J9" s="17"/>
      <c r="K9" s="22"/>
      <c r="L9" s="22"/>
    </row>
    <row r="10" spans="2:12" x14ac:dyDescent="0.3">
      <c r="B10" s="22"/>
      <c r="C10" s="22"/>
      <c r="D10" s="22"/>
      <c r="E10" s="22"/>
      <c r="F10" s="20"/>
      <c r="G10" s="20"/>
      <c r="H10" s="20"/>
      <c r="I10" s="22"/>
      <c r="J10" s="17"/>
      <c r="K10" s="22"/>
      <c r="L10" s="22"/>
    </row>
    <row r="11" spans="2:12" x14ac:dyDescent="0.3">
      <c r="B11" s="22"/>
      <c r="C11" s="22"/>
      <c r="D11" s="22"/>
      <c r="E11" s="22"/>
      <c r="F11" s="20"/>
      <c r="G11" s="20"/>
      <c r="H11" s="20"/>
      <c r="I11" s="22"/>
      <c r="J11" s="17"/>
      <c r="K11" s="22"/>
      <c r="L11" s="22"/>
    </row>
    <row r="12" spans="2:12" x14ac:dyDescent="0.3">
      <c r="B12" s="22"/>
      <c r="C12" s="22"/>
      <c r="D12" s="22"/>
      <c r="E12" s="22"/>
      <c r="F12" s="20"/>
      <c r="G12" s="20"/>
      <c r="H12" s="20"/>
      <c r="I12" s="22"/>
      <c r="J12" s="17"/>
      <c r="K12" s="22"/>
      <c r="L12" s="22"/>
    </row>
    <row r="13" spans="2:12" x14ac:dyDescent="0.3">
      <c r="B13" s="22"/>
      <c r="C13" s="22"/>
      <c r="D13" s="22"/>
      <c r="E13" s="22"/>
      <c r="F13" s="20"/>
      <c r="G13" s="20"/>
      <c r="H13" s="20"/>
      <c r="I13" s="22"/>
      <c r="J13" s="17"/>
      <c r="K13" s="22"/>
      <c r="L13" s="22"/>
    </row>
    <row r="14" spans="2:12" x14ac:dyDescent="0.3">
      <c r="B14" s="22"/>
      <c r="C14" s="22"/>
      <c r="D14" s="22"/>
      <c r="E14" s="22"/>
      <c r="F14" s="20"/>
      <c r="G14" s="20"/>
      <c r="H14" s="20"/>
      <c r="I14" s="22"/>
      <c r="J14" s="17"/>
      <c r="K14" s="22"/>
      <c r="L14" s="22"/>
    </row>
    <row r="15" spans="2:12" x14ac:dyDescent="0.3">
      <c r="B15" s="22"/>
      <c r="C15" s="22"/>
      <c r="D15" s="22"/>
      <c r="E15" s="22"/>
      <c r="F15" s="20"/>
      <c r="G15" s="20"/>
      <c r="H15" s="20"/>
      <c r="I15" s="22"/>
      <c r="J15" s="17"/>
      <c r="K15" s="22"/>
      <c r="L15" s="22"/>
    </row>
    <row r="16" spans="2:12" x14ac:dyDescent="0.3">
      <c r="B16" s="22"/>
      <c r="C16" s="22"/>
      <c r="D16" s="22"/>
      <c r="E16" s="22"/>
      <c r="F16" s="20"/>
      <c r="G16" s="20"/>
      <c r="H16" s="20"/>
      <c r="I16" s="22"/>
      <c r="J16" s="17"/>
      <c r="K16" s="22"/>
      <c r="L16" s="22"/>
    </row>
    <row r="17" spans="2:12" x14ac:dyDescent="0.3">
      <c r="B17" s="22"/>
      <c r="C17" s="22"/>
      <c r="D17" s="22"/>
      <c r="E17" s="22"/>
      <c r="F17" s="20"/>
      <c r="G17" s="20"/>
      <c r="H17" s="20"/>
      <c r="I17" s="22"/>
      <c r="J17" s="17"/>
      <c r="K17" s="22"/>
      <c r="L17" s="22"/>
    </row>
    <row r="18" spans="2:12" x14ac:dyDescent="0.3">
      <c r="B18" s="22"/>
      <c r="C18" s="22"/>
      <c r="D18" s="22"/>
      <c r="E18" s="22"/>
      <c r="F18" s="20"/>
      <c r="G18" s="20"/>
      <c r="H18" s="20"/>
      <c r="I18" s="22"/>
      <c r="J18" s="17"/>
      <c r="K18" s="22"/>
      <c r="L18" s="22"/>
    </row>
    <row r="19" spans="2:12" x14ac:dyDescent="0.3">
      <c r="B19" s="22"/>
      <c r="C19" s="22"/>
      <c r="D19" s="22"/>
      <c r="E19" s="22"/>
      <c r="F19" s="20"/>
      <c r="G19" s="20"/>
      <c r="H19" s="20"/>
      <c r="I19" s="22"/>
      <c r="J19" s="17"/>
      <c r="K19" s="22"/>
      <c r="L19" s="22"/>
    </row>
    <row r="20" spans="2:12" x14ac:dyDescent="0.3">
      <c r="B20" s="22"/>
      <c r="C20" s="22"/>
      <c r="D20" s="22"/>
      <c r="E20" s="22"/>
      <c r="F20" s="20"/>
      <c r="G20" s="20"/>
      <c r="H20" s="20"/>
      <c r="I20" s="22"/>
      <c r="J20" s="17"/>
      <c r="K20" s="22"/>
      <c r="L20" s="22"/>
    </row>
    <row r="21" spans="2:12" x14ac:dyDescent="0.3">
      <c r="B21" s="22"/>
      <c r="C21" s="22"/>
      <c r="D21" s="22"/>
      <c r="E21" s="22"/>
      <c r="F21" s="20"/>
      <c r="G21" s="20"/>
      <c r="H21" s="20"/>
      <c r="I21" s="22"/>
      <c r="J21" s="17"/>
      <c r="K21" s="22"/>
      <c r="L21" s="22"/>
    </row>
    <row r="22" spans="2:12" x14ac:dyDescent="0.3">
      <c r="B22" s="22"/>
      <c r="C22" s="22"/>
      <c r="D22" s="22"/>
      <c r="E22" s="22"/>
      <c r="F22" s="20"/>
      <c r="G22" s="20"/>
      <c r="H22" s="20"/>
      <c r="I22" s="22"/>
      <c r="J22" s="17"/>
      <c r="K22" s="22"/>
      <c r="L22" s="22"/>
    </row>
    <row r="23" spans="2:12" x14ac:dyDescent="0.3">
      <c r="B23" s="22"/>
      <c r="C23" s="22"/>
      <c r="D23" s="22"/>
      <c r="E23" s="22"/>
      <c r="F23" s="20"/>
      <c r="G23" s="20"/>
      <c r="H23" s="20"/>
      <c r="I23" s="22"/>
      <c r="J23" s="17"/>
      <c r="K23" s="22"/>
      <c r="L23" s="22"/>
    </row>
    <row r="24" spans="2:12" x14ac:dyDescent="0.3">
      <c r="B24" s="22"/>
      <c r="C24" s="22"/>
      <c r="D24" s="22"/>
      <c r="E24" s="22"/>
      <c r="F24" s="20"/>
      <c r="G24" s="20"/>
      <c r="H24" s="20"/>
      <c r="I24" s="22"/>
      <c r="J24" s="17"/>
      <c r="K24" s="22"/>
      <c r="L24" s="22"/>
    </row>
    <row r="25" spans="2:12" x14ac:dyDescent="0.3">
      <c r="B25" s="22"/>
      <c r="C25" s="22"/>
      <c r="D25" s="22"/>
      <c r="E25" s="22"/>
      <c r="F25" s="20"/>
      <c r="G25" s="20"/>
      <c r="H25" s="20"/>
      <c r="I25" s="22"/>
      <c r="J25" s="17"/>
      <c r="K25" s="22"/>
      <c r="L25" s="22"/>
    </row>
    <row r="26" spans="2:12" x14ac:dyDescent="0.3">
      <c r="B26" s="22"/>
      <c r="C26" s="22"/>
      <c r="D26" s="22"/>
      <c r="E26" s="22"/>
      <c r="F26" s="20"/>
      <c r="G26" s="20"/>
      <c r="H26" s="20"/>
      <c r="I26" s="22"/>
      <c r="J26" s="17"/>
      <c r="K26" s="22"/>
      <c r="L26" s="22"/>
    </row>
    <row r="27" spans="2:12" x14ac:dyDescent="0.3">
      <c r="B27" s="22"/>
      <c r="C27" s="22"/>
      <c r="D27" s="22"/>
      <c r="E27" s="22"/>
      <c r="F27" s="20"/>
      <c r="G27" s="20"/>
      <c r="H27" s="20"/>
      <c r="I27" s="22"/>
      <c r="J27" s="17"/>
      <c r="K27" s="22"/>
      <c r="L27" s="22"/>
    </row>
    <row r="28" spans="2:12" x14ac:dyDescent="0.3">
      <c r="B28" s="22"/>
      <c r="C28" s="22"/>
      <c r="D28" s="22"/>
      <c r="E28" s="22"/>
      <c r="F28" s="20"/>
      <c r="G28" s="20"/>
      <c r="H28" s="20"/>
      <c r="I28" s="22"/>
      <c r="J28" s="17"/>
      <c r="K28" s="22"/>
      <c r="L28" s="22"/>
    </row>
    <row r="29" spans="2:12" x14ac:dyDescent="0.3">
      <c r="B29" s="22"/>
      <c r="C29" s="22"/>
      <c r="D29" s="22"/>
      <c r="E29" s="22"/>
      <c r="F29" s="20"/>
      <c r="G29" s="20"/>
      <c r="H29" s="20"/>
      <c r="I29" s="22"/>
      <c r="J29" s="17"/>
      <c r="K29" s="22"/>
      <c r="L29" s="22"/>
    </row>
    <row r="30" spans="2:12" x14ac:dyDescent="0.3">
      <c r="B30" s="22"/>
      <c r="C30" s="22"/>
      <c r="D30" s="22"/>
      <c r="E30" s="22"/>
      <c r="F30" s="20"/>
      <c r="G30" s="20"/>
      <c r="H30" s="20"/>
      <c r="I30" s="22"/>
      <c r="J30" s="17"/>
      <c r="K30" s="22"/>
      <c r="L30" s="22"/>
    </row>
    <row r="31" spans="2:12" x14ac:dyDescent="0.3">
      <c r="B31" s="22"/>
      <c r="C31" s="22"/>
      <c r="D31" s="22"/>
      <c r="E31" s="22"/>
      <c r="F31" s="20"/>
      <c r="G31" s="20"/>
      <c r="H31" s="20"/>
      <c r="I31" s="22"/>
      <c r="J31" s="17"/>
      <c r="K31" s="22"/>
      <c r="L31" s="22"/>
    </row>
    <row r="32" spans="2:12" x14ac:dyDescent="0.3">
      <c r="B32" s="22"/>
      <c r="C32" s="22"/>
      <c r="D32" s="22"/>
      <c r="E32" s="22"/>
      <c r="F32" s="20"/>
      <c r="G32" s="20"/>
      <c r="H32" s="20"/>
      <c r="I32" s="22"/>
      <c r="J32" s="17"/>
      <c r="K32" s="22"/>
      <c r="L32" s="22"/>
    </row>
    <row r="33" spans="2:12" x14ac:dyDescent="0.3">
      <c r="B33" s="22"/>
      <c r="C33" s="22"/>
      <c r="D33" s="22"/>
      <c r="E33" s="22"/>
      <c r="F33" s="20"/>
      <c r="G33" s="20"/>
      <c r="H33" s="20"/>
      <c r="I33" s="22"/>
      <c r="J33" s="17"/>
      <c r="K33" s="22"/>
      <c r="L33" s="22"/>
    </row>
    <row r="34" spans="2:12" x14ac:dyDescent="0.3">
      <c r="B34" s="22"/>
      <c r="C34" s="22"/>
      <c r="D34" s="22"/>
      <c r="E34" s="22"/>
      <c r="F34" s="20"/>
      <c r="G34" s="20"/>
      <c r="H34" s="20"/>
      <c r="I34" s="22"/>
      <c r="J34" s="17"/>
      <c r="K34" s="22"/>
      <c r="L34" s="22"/>
    </row>
    <row r="35" spans="2:12" x14ac:dyDescent="0.3">
      <c r="B35" s="22"/>
      <c r="C35" s="22"/>
      <c r="D35" s="22"/>
      <c r="E35" s="22"/>
      <c r="F35" s="20"/>
      <c r="G35" s="20"/>
      <c r="H35" s="20"/>
      <c r="I35" s="22"/>
      <c r="J35" s="17"/>
      <c r="K35" s="22"/>
      <c r="L35" s="22"/>
    </row>
    <row r="36" spans="2:12" x14ac:dyDescent="0.3">
      <c r="B36" s="22"/>
      <c r="C36" s="22"/>
      <c r="D36" s="22"/>
      <c r="E36" s="22"/>
      <c r="F36" s="20"/>
      <c r="G36" s="20"/>
      <c r="H36" s="20"/>
      <c r="I36" s="22"/>
      <c r="J36" s="17"/>
      <c r="K36" s="22"/>
      <c r="L36" s="22"/>
    </row>
    <row r="37" spans="2:12" x14ac:dyDescent="0.3">
      <c r="B37" s="22"/>
      <c r="C37" s="22"/>
      <c r="D37" s="22"/>
      <c r="E37" s="22"/>
      <c r="F37" s="20"/>
      <c r="G37" s="20"/>
      <c r="H37" s="20"/>
      <c r="I37" s="22"/>
      <c r="J37" s="17"/>
      <c r="K37" s="22"/>
      <c r="L37" s="22"/>
    </row>
    <row r="38" spans="2:12" x14ac:dyDescent="0.3">
      <c r="B38" s="22"/>
      <c r="C38" s="22"/>
      <c r="D38" s="22"/>
      <c r="E38" s="22"/>
      <c r="F38" s="20"/>
      <c r="G38" s="20"/>
      <c r="H38" s="20"/>
      <c r="I38" s="22"/>
      <c r="J38" s="17"/>
      <c r="K38" s="22"/>
      <c r="L38" s="22"/>
    </row>
    <row r="39" spans="2:12" x14ac:dyDescent="0.3">
      <c r="B39" s="22"/>
      <c r="C39" s="22"/>
      <c r="D39" s="22"/>
      <c r="E39" s="22"/>
      <c r="F39" s="20"/>
      <c r="G39" s="20"/>
      <c r="H39" s="20"/>
      <c r="I39" s="22"/>
      <c r="J39" s="17"/>
      <c r="K39" s="22"/>
      <c r="L39" s="22"/>
    </row>
    <row r="40" spans="2:12" x14ac:dyDescent="0.3">
      <c r="B40" s="22"/>
      <c r="C40" s="22"/>
      <c r="D40" s="22"/>
      <c r="E40" s="22"/>
      <c r="F40" s="20"/>
      <c r="G40" s="20"/>
      <c r="H40" s="20"/>
      <c r="I40" s="22"/>
      <c r="J40" s="17"/>
      <c r="K40" s="22"/>
      <c r="L40" s="22"/>
    </row>
    <row r="41" spans="2:12" x14ac:dyDescent="0.3">
      <c r="B41" s="22"/>
      <c r="C41" s="22"/>
      <c r="D41" s="22"/>
      <c r="E41" s="22"/>
      <c r="F41" s="20"/>
      <c r="G41" s="20"/>
      <c r="H41" s="20"/>
      <c r="I41" s="22"/>
      <c r="J41" s="17"/>
      <c r="K41" s="22"/>
      <c r="L41" s="22"/>
    </row>
    <row r="42" spans="2:12" x14ac:dyDescent="0.3">
      <c r="B42" s="22"/>
      <c r="C42" s="22"/>
      <c r="D42" s="22"/>
      <c r="E42" s="22"/>
      <c r="F42" s="20"/>
      <c r="G42" s="20"/>
      <c r="H42" s="20"/>
      <c r="I42" s="22"/>
      <c r="J42" s="17"/>
      <c r="K42" s="22"/>
      <c r="L42" s="22"/>
    </row>
    <row r="43" spans="2:12" x14ac:dyDescent="0.3">
      <c r="B43" s="22"/>
      <c r="C43" s="22"/>
      <c r="D43" s="22"/>
      <c r="E43" s="22"/>
      <c r="F43" s="20"/>
      <c r="G43" s="20"/>
      <c r="H43" s="20"/>
      <c r="I43" s="22"/>
      <c r="J43" s="17"/>
      <c r="K43" s="22"/>
      <c r="L43" s="22"/>
    </row>
    <row r="44" spans="2:12" x14ac:dyDescent="0.3">
      <c r="B44" s="22"/>
      <c r="C44" s="22"/>
      <c r="D44" s="22"/>
      <c r="E44" s="22"/>
      <c r="F44" s="20"/>
      <c r="G44" s="20"/>
      <c r="H44" s="20"/>
      <c r="I44" s="22"/>
      <c r="J44" s="17"/>
      <c r="K44" s="22"/>
      <c r="L44" s="22"/>
    </row>
    <row r="45" spans="2:12" x14ac:dyDescent="0.3">
      <c r="B45" s="22"/>
      <c r="C45" s="22"/>
      <c r="D45" s="22"/>
      <c r="E45" s="22"/>
      <c r="F45" s="20"/>
      <c r="G45" s="20"/>
      <c r="H45" s="20"/>
      <c r="I45" s="22"/>
      <c r="J45" s="17"/>
      <c r="K45" s="22"/>
      <c r="L45" s="22"/>
    </row>
    <row r="46" spans="2:12" x14ac:dyDescent="0.3">
      <c r="B46" s="22"/>
      <c r="C46" s="22"/>
      <c r="D46" s="22"/>
      <c r="E46" s="22"/>
      <c r="F46" s="20"/>
      <c r="G46" s="20"/>
      <c r="H46" s="20"/>
      <c r="I46" s="22"/>
      <c r="J46" s="17"/>
      <c r="K46" s="22"/>
      <c r="L46" s="22"/>
    </row>
    <row r="47" spans="2:12" x14ac:dyDescent="0.3">
      <c r="B47" s="22"/>
      <c r="C47" s="22"/>
      <c r="D47" s="22"/>
      <c r="E47" s="22"/>
      <c r="F47" s="20"/>
      <c r="G47" s="20"/>
      <c r="H47" s="20"/>
      <c r="I47" s="22"/>
      <c r="J47" s="17"/>
      <c r="K47" s="22"/>
      <c r="L47" s="22"/>
    </row>
    <row r="48" spans="2:12" x14ac:dyDescent="0.3">
      <c r="B48" s="22"/>
      <c r="C48" s="22"/>
      <c r="D48" s="22"/>
      <c r="E48" s="22"/>
      <c r="F48" s="20"/>
      <c r="G48" s="20"/>
      <c r="H48" s="20"/>
      <c r="I48" s="22"/>
      <c r="J48" s="17"/>
      <c r="K48" s="22"/>
      <c r="L48" s="22"/>
    </row>
    <row r="49" spans="2:12" x14ac:dyDescent="0.3">
      <c r="B49" s="22"/>
      <c r="C49" s="22"/>
      <c r="D49" s="22"/>
      <c r="E49" s="22"/>
      <c r="F49" s="20"/>
      <c r="G49" s="20"/>
      <c r="H49" s="20"/>
      <c r="I49" s="22"/>
      <c r="J49" s="17"/>
      <c r="K49" s="22"/>
      <c r="L49" s="22"/>
    </row>
    <row r="50" spans="2:12" x14ac:dyDescent="0.3">
      <c r="B50" s="22"/>
      <c r="C50" s="22"/>
      <c r="D50" s="22"/>
      <c r="E50" s="22"/>
      <c r="F50" s="20"/>
      <c r="G50" s="20"/>
      <c r="H50" s="20"/>
      <c r="I50" s="22"/>
      <c r="J50" s="17"/>
      <c r="K50" s="22"/>
      <c r="L50" s="22"/>
    </row>
    <row r="51" spans="2:12" x14ac:dyDescent="0.3">
      <c r="B51" s="22"/>
      <c r="C51" s="22"/>
      <c r="D51" s="22"/>
      <c r="E51" s="22"/>
      <c r="F51" s="20"/>
      <c r="G51" s="20"/>
      <c r="H51" s="20"/>
      <c r="I51" s="22"/>
      <c r="J51" s="17"/>
      <c r="K51" s="22"/>
      <c r="L51" s="22"/>
    </row>
    <row r="52" spans="2:12" x14ac:dyDescent="0.3">
      <c r="B52" s="22"/>
      <c r="C52" s="22"/>
      <c r="D52" s="22"/>
      <c r="E52" s="22"/>
      <c r="F52" s="20"/>
      <c r="G52" s="20"/>
      <c r="H52" s="20"/>
      <c r="I52" s="22"/>
      <c r="J52" s="17"/>
      <c r="K52" s="22"/>
      <c r="L52" s="22"/>
    </row>
    <row r="53" spans="2:12" x14ac:dyDescent="0.3">
      <c r="B53" s="22"/>
      <c r="C53" s="22"/>
      <c r="D53" s="22"/>
      <c r="E53" s="22"/>
      <c r="F53" s="20"/>
      <c r="G53" s="20"/>
      <c r="H53" s="20"/>
      <c r="I53" s="22"/>
      <c r="J53" s="17"/>
      <c r="K53" s="22"/>
      <c r="L53" s="22"/>
    </row>
    <row r="54" spans="2:12" x14ac:dyDescent="0.3">
      <c r="B54" s="22"/>
      <c r="C54" s="22"/>
      <c r="D54" s="22"/>
      <c r="E54" s="22"/>
      <c r="F54" s="20"/>
      <c r="G54" s="20"/>
      <c r="H54" s="20"/>
      <c r="I54" s="22"/>
      <c r="J54" s="17"/>
      <c r="K54" s="22"/>
      <c r="L54" s="22"/>
    </row>
    <row r="55" spans="2:12" x14ac:dyDescent="0.3">
      <c r="B55" s="22"/>
      <c r="C55" s="22"/>
      <c r="D55" s="22"/>
      <c r="E55" s="22"/>
      <c r="F55" s="20"/>
      <c r="G55" s="20"/>
      <c r="H55" s="20"/>
      <c r="I55" s="22"/>
      <c r="J55" s="17"/>
      <c r="K55" s="22"/>
      <c r="L55" s="22"/>
    </row>
    <row r="56" spans="2:12" x14ac:dyDescent="0.3">
      <c r="B56" s="22"/>
      <c r="C56" s="22"/>
      <c r="D56" s="22"/>
      <c r="E56" s="22"/>
      <c r="F56" s="20"/>
      <c r="G56" s="20"/>
      <c r="H56" s="20"/>
      <c r="I56" s="22"/>
      <c r="J56" s="17"/>
      <c r="K56" s="22"/>
      <c r="L56" s="22"/>
    </row>
    <row r="57" spans="2:12" x14ac:dyDescent="0.3">
      <c r="B57" s="22"/>
      <c r="C57" s="22"/>
      <c r="D57" s="22"/>
      <c r="E57" s="22"/>
      <c r="F57" s="20"/>
      <c r="G57" s="20"/>
      <c r="H57" s="20"/>
      <c r="I57" s="22"/>
      <c r="J57" s="17"/>
      <c r="K57" s="22"/>
      <c r="L57" s="22"/>
    </row>
    <row r="58" spans="2:12" x14ac:dyDescent="0.3">
      <c r="B58" s="22"/>
      <c r="C58" s="22"/>
      <c r="D58" s="22"/>
      <c r="E58" s="22"/>
      <c r="F58" s="20"/>
      <c r="G58" s="20"/>
      <c r="H58" s="20"/>
      <c r="I58" s="22"/>
      <c r="J58" s="17"/>
      <c r="K58" s="22"/>
      <c r="L58" s="22"/>
    </row>
    <row r="59" spans="2:12" x14ac:dyDescent="0.3">
      <c r="B59" s="22"/>
      <c r="C59" s="22"/>
      <c r="D59" s="22"/>
      <c r="E59" s="22"/>
      <c r="F59" s="20"/>
      <c r="G59" s="20"/>
      <c r="H59" s="20"/>
      <c r="I59" s="22"/>
      <c r="J59" s="17"/>
      <c r="K59" s="22"/>
      <c r="L59" s="22"/>
    </row>
    <row r="60" spans="2:12" x14ac:dyDescent="0.3">
      <c r="B60" s="22"/>
      <c r="C60" s="22"/>
      <c r="D60" s="22"/>
      <c r="E60" s="22"/>
      <c r="F60" s="20"/>
      <c r="G60" s="20"/>
      <c r="H60" s="20"/>
      <c r="I60" s="22"/>
      <c r="J60" s="17"/>
      <c r="K60" s="22"/>
      <c r="L60" s="22"/>
    </row>
    <row r="61" spans="2:12" x14ac:dyDescent="0.3">
      <c r="B61" s="22"/>
      <c r="C61" s="22"/>
      <c r="D61" s="22"/>
      <c r="E61" s="22"/>
      <c r="F61" s="20"/>
      <c r="G61" s="20"/>
      <c r="H61" s="20"/>
      <c r="I61" s="22"/>
      <c r="J61" s="17"/>
      <c r="K61" s="22"/>
      <c r="L61" s="22"/>
    </row>
    <row r="62" spans="2:12" x14ac:dyDescent="0.3">
      <c r="B62" s="22"/>
      <c r="C62" s="22"/>
      <c r="D62" s="22"/>
      <c r="E62" s="22"/>
      <c r="F62" s="20"/>
      <c r="G62" s="20"/>
      <c r="H62" s="20"/>
      <c r="I62" s="22"/>
      <c r="J62" s="17"/>
      <c r="K62" s="22"/>
      <c r="L62" s="22"/>
    </row>
    <row r="63" spans="2:12" x14ac:dyDescent="0.3">
      <c r="B63" s="22"/>
      <c r="C63" s="22"/>
      <c r="D63" s="22"/>
      <c r="E63" s="22"/>
      <c r="F63" s="20"/>
      <c r="G63" s="20"/>
      <c r="H63" s="20"/>
      <c r="I63" s="22"/>
      <c r="J63" s="17"/>
      <c r="K63" s="22"/>
      <c r="L63" s="22"/>
    </row>
    <row r="64" spans="2:12" x14ac:dyDescent="0.3">
      <c r="B64" s="22"/>
      <c r="C64" s="22"/>
      <c r="D64" s="22"/>
      <c r="E64" s="22"/>
      <c r="F64" s="20"/>
      <c r="G64" s="20"/>
      <c r="H64" s="20"/>
      <c r="I64" s="22"/>
      <c r="J64" s="17"/>
      <c r="K64" s="22"/>
      <c r="L64" s="22"/>
    </row>
    <row r="65" spans="2:12" x14ac:dyDescent="0.3">
      <c r="B65" s="22"/>
      <c r="C65" s="22"/>
      <c r="D65" s="22"/>
      <c r="E65" s="22"/>
      <c r="F65" s="20"/>
      <c r="G65" s="20"/>
      <c r="H65" s="20"/>
      <c r="I65" s="22"/>
      <c r="J65" s="17"/>
      <c r="K65" s="22"/>
      <c r="L65" s="22"/>
    </row>
    <row r="66" spans="2:12" x14ac:dyDescent="0.3">
      <c r="B66" s="22"/>
      <c r="C66" s="22"/>
      <c r="D66" s="22"/>
      <c r="E66" s="22"/>
      <c r="F66" s="20"/>
      <c r="G66" s="20"/>
      <c r="H66" s="20"/>
      <c r="I66" s="22"/>
      <c r="J66" s="17"/>
      <c r="K66" s="22"/>
      <c r="L66" s="22"/>
    </row>
    <row r="67" spans="2:12" x14ac:dyDescent="0.3">
      <c r="B67" s="22"/>
      <c r="C67" s="22"/>
      <c r="D67" s="22"/>
      <c r="E67" s="22"/>
      <c r="F67" s="20"/>
      <c r="G67" s="20"/>
      <c r="H67" s="20"/>
      <c r="I67" s="22"/>
      <c r="J67" s="17"/>
      <c r="K67" s="22"/>
      <c r="L67" s="22"/>
    </row>
    <row r="68" spans="2:12" x14ac:dyDescent="0.3">
      <c r="B68" s="22"/>
      <c r="C68" s="22"/>
      <c r="D68" s="22"/>
      <c r="E68" s="22"/>
      <c r="F68" s="20"/>
      <c r="G68" s="20"/>
      <c r="H68" s="20"/>
      <c r="I68" s="22"/>
      <c r="J68" s="17"/>
      <c r="K68" s="22"/>
      <c r="L68" s="22"/>
    </row>
    <row r="69" spans="2:12" x14ac:dyDescent="0.3">
      <c r="B69" s="22"/>
      <c r="C69" s="22"/>
      <c r="D69" s="22"/>
      <c r="E69" s="22"/>
      <c r="F69" s="20"/>
      <c r="G69" s="20"/>
      <c r="H69" s="20"/>
      <c r="I69" s="22"/>
      <c r="J69" s="17"/>
      <c r="K69" s="22"/>
      <c r="L69" s="22"/>
    </row>
    <row r="70" spans="2:12" x14ac:dyDescent="0.3">
      <c r="B70" s="22"/>
      <c r="C70" s="22"/>
      <c r="D70" s="22"/>
      <c r="E70" s="22"/>
      <c r="F70" s="20"/>
      <c r="G70" s="20"/>
      <c r="H70" s="20"/>
      <c r="I70" s="22"/>
      <c r="J70" s="17"/>
      <c r="K70" s="22"/>
      <c r="L70" s="22"/>
    </row>
    <row r="71" spans="2:12" x14ac:dyDescent="0.3">
      <c r="B71" s="22"/>
      <c r="C71" s="22"/>
      <c r="D71" s="22"/>
      <c r="E71" s="22"/>
      <c r="F71" s="20"/>
      <c r="G71" s="20"/>
      <c r="H71" s="20"/>
      <c r="I71" s="22"/>
      <c r="J71" s="17"/>
      <c r="K71" s="22"/>
      <c r="L71" s="22"/>
    </row>
    <row r="72" spans="2:12" x14ac:dyDescent="0.3">
      <c r="B72" s="22"/>
      <c r="C72" s="22"/>
      <c r="D72" s="22"/>
      <c r="E72" s="22"/>
      <c r="F72" s="20"/>
      <c r="G72" s="20"/>
      <c r="H72" s="20"/>
      <c r="I72" s="22"/>
      <c r="J72" s="17"/>
      <c r="K72" s="22"/>
      <c r="L72" s="22"/>
    </row>
    <row r="73" spans="2:12" x14ac:dyDescent="0.3">
      <c r="B73" s="22"/>
      <c r="C73" s="22"/>
      <c r="D73" s="22"/>
      <c r="E73" s="22"/>
      <c r="F73" s="20"/>
      <c r="G73" s="20"/>
      <c r="H73" s="20"/>
      <c r="I73" s="22"/>
      <c r="J73" s="17"/>
      <c r="K73" s="22"/>
      <c r="L73" s="22"/>
    </row>
    <row r="74" spans="2:12" x14ac:dyDescent="0.3">
      <c r="B74" s="22"/>
      <c r="C74" s="22"/>
      <c r="D74" s="22"/>
      <c r="E74" s="22"/>
      <c r="F74" s="20"/>
      <c r="G74" s="20"/>
      <c r="H74" s="20"/>
      <c r="I74" s="22"/>
      <c r="J74" s="17"/>
      <c r="K74" s="22"/>
      <c r="L74" s="22"/>
    </row>
    <row r="75" spans="2:12" x14ac:dyDescent="0.3">
      <c r="B75" s="22"/>
      <c r="C75" s="22"/>
      <c r="D75" s="22"/>
      <c r="E75" s="22"/>
      <c r="F75" s="20"/>
      <c r="G75" s="20"/>
      <c r="H75" s="20"/>
      <c r="I75" s="22"/>
      <c r="J75" s="17"/>
      <c r="K75" s="22"/>
      <c r="L75" s="22"/>
    </row>
    <row r="76" spans="2:12" x14ac:dyDescent="0.3">
      <c r="B76" s="22"/>
      <c r="C76" s="22"/>
      <c r="D76" s="22"/>
      <c r="E76" s="22"/>
      <c r="F76" s="20"/>
      <c r="G76" s="20"/>
      <c r="H76" s="20"/>
      <c r="I76" s="22"/>
      <c r="J76" s="17"/>
      <c r="K76" s="22"/>
      <c r="L76" s="22"/>
    </row>
    <row r="77" spans="2:12" x14ac:dyDescent="0.3">
      <c r="B77" s="22"/>
      <c r="C77" s="22"/>
      <c r="D77" s="22"/>
      <c r="E77" s="22"/>
      <c r="F77" s="20"/>
      <c r="G77" s="20"/>
      <c r="H77" s="20"/>
      <c r="I77" s="22"/>
      <c r="J77" s="17"/>
      <c r="K77" s="22"/>
      <c r="L77" s="22"/>
    </row>
    <row r="78" spans="2:12" x14ac:dyDescent="0.3">
      <c r="B78" s="22"/>
      <c r="C78" s="22"/>
      <c r="D78" s="22"/>
      <c r="E78" s="22"/>
      <c r="F78" s="20"/>
      <c r="G78" s="20"/>
      <c r="H78" s="20"/>
      <c r="I78" s="22"/>
      <c r="J78" s="17"/>
      <c r="K78" s="22"/>
      <c r="L78" s="22"/>
    </row>
    <row r="79" spans="2:12" x14ac:dyDescent="0.3">
      <c r="B79" s="22"/>
      <c r="C79" s="22"/>
      <c r="D79" s="22"/>
      <c r="E79" s="22"/>
      <c r="F79" s="20"/>
      <c r="G79" s="20"/>
      <c r="H79" s="20"/>
      <c r="I79" s="22"/>
      <c r="J79" s="17"/>
      <c r="K79" s="22"/>
      <c r="L79" s="22"/>
    </row>
    <row r="80" spans="2:12" x14ac:dyDescent="0.3">
      <c r="B80" s="22"/>
      <c r="C80" s="22"/>
      <c r="D80" s="22"/>
      <c r="E80" s="22"/>
      <c r="F80" s="20"/>
      <c r="G80" s="20"/>
      <c r="H80" s="20"/>
      <c r="I80" s="22"/>
      <c r="J80" s="17"/>
      <c r="K80" s="22"/>
      <c r="L80" s="22"/>
    </row>
    <row r="81" spans="2:12" x14ac:dyDescent="0.3">
      <c r="B81" s="22"/>
      <c r="C81" s="22"/>
      <c r="D81" s="22"/>
      <c r="E81" s="22"/>
      <c r="F81" s="20"/>
      <c r="G81" s="20"/>
      <c r="H81" s="20"/>
      <c r="I81" s="22"/>
      <c r="J81" s="17"/>
      <c r="K81" s="22"/>
      <c r="L81" s="22"/>
    </row>
    <row r="82" spans="2:12" x14ac:dyDescent="0.3">
      <c r="B82" s="22"/>
      <c r="C82" s="22"/>
      <c r="D82" s="22"/>
      <c r="E82" s="22"/>
      <c r="F82" s="20"/>
      <c r="G82" s="20"/>
      <c r="H82" s="20"/>
      <c r="I82" s="22"/>
      <c r="J82" s="17"/>
      <c r="K82" s="22"/>
      <c r="L82" s="22"/>
    </row>
    <row r="83" spans="2:12" x14ac:dyDescent="0.3">
      <c r="B83" s="22"/>
      <c r="C83" s="22"/>
      <c r="D83" s="22"/>
      <c r="E83" s="22"/>
      <c r="F83" s="20"/>
      <c r="G83" s="20"/>
      <c r="H83" s="20"/>
      <c r="I83" s="22"/>
      <c r="J83" s="17"/>
      <c r="K83" s="22"/>
      <c r="L83" s="22"/>
    </row>
    <row r="84" spans="2:12" x14ac:dyDescent="0.3">
      <c r="B84" s="22"/>
      <c r="C84" s="22"/>
      <c r="D84" s="22"/>
      <c r="E84" s="22"/>
      <c r="F84" s="20"/>
      <c r="G84" s="20"/>
      <c r="H84" s="20"/>
      <c r="I84" s="22"/>
      <c r="J84" s="17"/>
      <c r="K84" s="22"/>
      <c r="L84" s="22"/>
    </row>
    <row r="85" spans="2:12" x14ac:dyDescent="0.3">
      <c r="B85" s="22"/>
      <c r="C85" s="22"/>
      <c r="D85" s="22"/>
      <c r="E85" s="22"/>
      <c r="F85" s="20"/>
      <c r="G85" s="20"/>
      <c r="H85" s="20"/>
      <c r="I85" s="22"/>
      <c r="J85" s="17"/>
      <c r="K85" s="22"/>
      <c r="L85" s="22"/>
    </row>
    <row r="86" spans="2:12" x14ac:dyDescent="0.3">
      <c r="B86" s="22"/>
      <c r="C86" s="22"/>
      <c r="D86" s="22"/>
      <c r="E86" s="22"/>
      <c r="F86" s="20"/>
      <c r="G86" s="20"/>
      <c r="H86" s="20"/>
      <c r="I86" s="22"/>
      <c r="J86" s="17"/>
      <c r="K86" s="22"/>
      <c r="L86" s="22"/>
    </row>
    <row r="87" spans="2:12" x14ac:dyDescent="0.3">
      <c r="B87" s="22"/>
      <c r="C87" s="22"/>
      <c r="D87" s="22"/>
      <c r="E87" s="22"/>
      <c r="F87" s="20"/>
      <c r="G87" s="20"/>
      <c r="H87" s="20"/>
      <c r="I87" s="22"/>
      <c r="J87" s="17"/>
      <c r="K87" s="22"/>
      <c r="L87" s="22"/>
    </row>
    <row r="88" spans="2:12" x14ac:dyDescent="0.3">
      <c r="B88" s="22"/>
      <c r="C88" s="22"/>
      <c r="D88" s="22"/>
      <c r="E88" s="22"/>
      <c r="F88" s="20"/>
      <c r="G88" s="20"/>
      <c r="H88" s="20"/>
      <c r="I88" s="22"/>
      <c r="J88" s="17"/>
      <c r="K88" s="22"/>
      <c r="L88" s="22"/>
    </row>
    <row r="89" spans="2:12" x14ac:dyDescent="0.3">
      <c r="B89" s="22"/>
      <c r="C89" s="22"/>
      <c r="D89" s="22"/>
      <c r="E89" s="22"/>
      <c r="F89" s="20"/>
      <c r="G89" s="20"/>
      <c r="H89" s="20"/>
      <c r="I89" s="22"/>
      <c r="J89" s="17"/>
      <c r="K89" s="22"/>
      <c r="L89" s="22"/>
    </row>
    <row r="90" spans="2:12" x14ac:dyDescent="0.3">
      <c r="B90" s="22"/>
      <c r="C90" s="22"/>
      <c r="D90" s="22"/>
      <c r="E90" s="22"/>
      <c r="F90" s="20"/>
      <c r="G90" s="20"/>
      <c r="H90" s="20"/>
      <c r="I90" s="22"/>
      <c r="J90" s="17"/>
      <c r="K90" s="22"/>
      <c r="L90" s="22"/>
    </row>
    <row r="91" spans="2:12" x14ac:dyDescent="0.3">
      <c r="B91" s="22"/>
      <c r="C91" s="22"/>
      <c r="D91" s="22"/>
      <c r="E91" s="22"/>
      <c r="F91" s="20"/>
      <c r="G91" s="20"/>
      <c r="H91" s="20"/>
      <c r="I91" s="22"/>
      <c r="J91" s="17"/>
      <c r="K91" s="22"/>
      <c r="L91" s="22"/>
    </row>
    <row r="92" spans="2:12" x14ac:dyDescent="0.3">
      <c r="B92" s="22"/>
      <c r="C92" s="22"/>
      <c r="D92" s="22"/>
      <c r="E92" s="22"/>
      <c r="F92" s="20"/>
      <c r="G92" s="20"/>
      <c r="H92" s="20"/>
      <c r="I92" s="22"/>
      <c r="J92" s="17"/>
      <c r="K92" s="22"/>
      <c r="L92" s="22"/>
    </row>
    <row r="93" spans="2:12" x14ac:dyDescent="0.3">
      <c r="B93" s="22"/>
      <c r="C93" s="22"/>
      <c r="D93" s="22"/>
      <c r="E93" s="22"/>
      <c r="F93" s="20"/>
      <c r="G93" s="20"/>
      <c r="H93" s="20"/>
      <c r="I93" s="22"/>
      <c r="J93" s="17"/>
      <c r="K93" s="22"/>
      <c r="L93" s="22"/>
    </row>
    <row r="94" spans="2:12" x14ac:dyDescent="0.3">
      <c r="B94" s="22"/>
      <c r="C94" s="22"/>
      <c r="D94" s="22"/>
      <c r="E94" s="22"/>
      <c r="F94" s="20"/>
      <c r="G94" s="20"/>
      <c r="H94" s="20"/>
      <c r="I94" s="22"/>
      <c r="J94" s="17"/>
      <c r="K94" s="22"/>
      <c r="L94" s="22"/>
    </row>
    <row r="95" spans="2:12" x14ac:dyDescent="0.3">
      <c r="B95" s="22"/>
      <c r="C95" s="22"/>
      <c r="D95" s="22"/>
      <c r="E95" s="22"/>
      <c r="F95" s="20"/>
      <c r="G95" s="20"/>
      <c r="H95" s="20"/>
      <c r="I95" s="22"/>
      <c r="J95" s="17"/>
      <c r="K95" s="22"/>
      <c r="L95" s="22"/>
    </row>
    <row r="96" spans="2:12" x14ac:dyDescent="0.3">
      <c r="B96" s="22"/>
      <c r="C96" s="22"/>
      <c r="D96" s="22"/>
      <c r="E96" s="22"/>
      <c r="F96" s="20"/>
      <c r="G96" s="20"/>
      <c r="H96" s="20"/>
      <c r="I96" s="22"/>
      <c r="J96" s="17"/>
      <c r="K96" s="22"/>
      <c r="L96" s="22"/>
    </row>
    <row r="97" spans="2:12" x14ac:dyDescent="0.3">
      <c r="B97" s="22"/>
      <c r="C97" s="22"/>
      <c r="D97" s="22"/>
      <c r="E97" s="22"/>
      <c r="F97" s="20"/>
      <c r="G97" s="20"/>
      <c r="H97" s="20"/>
      <c r="I97" s="22"/>
      <c r="J97" s="17"/>
      <c r="K97" s="22"/>
      <c r="L97" s="22"/>
    </row>
    <row r="98" spans="2:12" x14ac:dyDescent="0.3">
      <c r="B98" s="22"/>
      <c r="C98" s="22"/>
      <c r="D98" s="22"/>
      <c r="E98" s="22"/>
      <c r="F98" s="20"/>
      <c r="G98" s="20"/>
      <c r="H98" s="20"/>
      <c r="I98" s="22"/>
      <c r="J98" s="17"/>
      <c r="K98" s="22"/>
      <c r="L98" s="22"/>
    </row>
    <row r="99" spans="2:12" x14ac:dyDescent="0.3">
      <c r="B99" s="22"/>
      <c r="C99" s="22"/>
      <c r="D99" s="22"/>
      <c r="E99" s="22"/>
      <c r="F99" s="20"/>
      <c r="G99" s="20"/>
      <c r="H99" s="20"/>
      <c r="I99" s="22"/>
      <c r="J99" s="17"/>
      <c r="K99" s="22"/>
      <c r="L99" s="22"/>
    </row>
    <row r="100" spans="2:12" x14ac:dyDescent="0.3">
      <c r="B100" s="22"/>
      <c r="C100" s="22"/>
      <c r="D100" s="22"/>
      <c r="E100" s="22"/>
      <c r="F100" s="20"/>
      <c r="G100" s="20"/>
      <c r="H100" s="20"/>
      <c r="I100" s="22"/>
      <c r="J100" s="17"/>
      <c r="K100" s="22"/>
      <c r="L100" s="22"/>
    </row>
    <row r="101" spans="2:12" x14ac:dyDescent="0.3">
      <c r="B101" s="22"/>
      <c r="C101" s="22"/>
      <c r="D101" s="22"/>
      <c r="E101" s="22"/>
      <c r="F101" s="20"/>
      <c r="G101" s="20"/>
      <c r="H101" s="20"/>
      <c r="I101" s="22"/>
      <c r="J101" s="17"/>
      <c r="K101" s="22"/>
      <c r="L101" s="22"/>
    </row>
    <row r="102" spans="2:12" x14ac:dyDescent="0.3">
      <c r="B102" s="22"/>
      <c r="C102" s="22"/>
      <c r="D102" s="22"/>
      <c r="E102" s="22"/>
      <c r="F102" s="20"/>
      <c r="G102" s="20"/>
      <c r="H102" s="20"/>
      <c r="I102" s="22"/>
      <c r="J102" s="17"/>
      <c r="K102" s="22"/>
      <c r="L102" s="22"/>
    </row>
    <row r="103" spans="2:12" x14ac:dyDescent="0.3">
      <c r="B103" s="22"/>
      <c r="C103" s="22"/>
      <c r="D103" s="22"/>
      <c r="E103" s="22"/>
      <c r="F103" s="20"/>
      <c r="G103" s="20"/>
      <c r="H103" s="20"/>
      <c r="I103" s="22"/>
      <c r="J103" s="17"/>
      <c r="K103" s="22"/>
      <c r="L103" s="22"/>
    </row>
    <row r="104" spans="2:12" x14ac:dyDescent="0.3">
      <c r="B104" s="22"/>
      <c r="C104" s="22"/>
      <c r="D104" s="22"/>
      <c r="E104" s="22"/>
      <c r="F104" s="20"/>
      <c r="G104" s="20"/>
      <c r="H104" s="20"/>
      <c r="I104" s="22"/>
      <c r="J104" s="17"/>
      <c r="K104" s="22"/>
      <c r="L104" s="22"/>
    </row>
    <row r="105" spans="2:12" x14ac:dyDescent="0.3">
      <c r="B105" s="22"/>
      <c r="C105" s="22"/>
      <c r="D105" s="22"/>
      <c r="E105" s="22"/>
      <c r="F105" s="20"/>
      <c r="G105" s="20"/>
      <c r="H105" s="20"/>
      <c r="I105" s="22"/>
      <c r="J105" s="17"/>
      <c r="K105" s="22"/>
      <c r="L105" s="22"/>
    </row>
    <row r="106" spans="2:12" x14ac:dyDescent="0.3">
      <c r="B106" s="22"/>
      <c r="C106" s="22"/>
      <c r="D106" s="22"/>
      <c r="E106" s="22"/>
      <c r="F106" s="20"/>
      <c r="G106" s="20"/>
      <c r="H106" s="20"/>
      <c r="I106" s="22"/>
      <c r="J106" s="17"/>
      <c r="K106" s="22"/>
      <c r="L106" s="22"/>
    </row>
    <row r="107" spans="2:12" x14ac:dyDescent="0.3">
      <c r="B107" s="22"/>
      <c r="C107" s="22"/>
      <c r="D107" s="22"/>
      <c r="E107" s="22"/>
      <c r="F107" s="20"/>
      <c r="G107" s="20"/>
      <c r="H107" s="20"/>
      <c r="I107" s="22"/>
      <c r="J107" s="17"/>
      <c r="K107" s="22"/>
      <c r="L107" s="22"/>
    </row>
    <row r="108" spans="2:12" x14ac:dyDescent="0.3">
      <c r="B108" s="22"/>
      <c r="C108" s="22"/>
      <c r="D108" s="22"/>
      <c r="E108" s="22"/>
      <c r="F108" s="20"/>
      <c r="G108" s="20"/>
      <c r="H108" s="20"/>
      <c r="I108" s="22"/>
      <c r="J108" s="17"/>
      <c r="K108" s="22"/>
      <c r="L108" s="22"/>
    </row>
    <row r="109" spans="2:12" x14ac:dyDescent="0.3">
      <c r="B109" s="22"/>
      <c r="C109" s="22"/>
      <c r="D109" s="22"/>
      <c r="E109" s="22"/>
      <c r="F109" s="20"/>
      <c r="G109" s="20"/>
      <c r="H109" s="20"/>
      <c r="I109" s="22"/>
      <c r="J109" s="17"/>
      <c r="K109" s="22"/>
      <c r="L109" s="22"/>
    </row>
    <row r="110" spans="2:12" x14ac:dyDescent="0.3">
      <c r="B110" s="22"/>
      <c r="C110" s="22"/>
      <c r="D110" s="22"/>
      <c r="E110" s="22"/>
      <c r="F110" s="20"/>
      <c r="G110" s="20"/>
      <c r="H110" s="20"/>
      <c r="I110" s="22"/>
      <c r="J110" s="17"/>
      <c r="K110" s="22"/>
      <c r="L110" s="22"/>
    </row>
    <row r="111" spans="2:12" x14ac:dyDescent="0.3">
      <c r="B111" s="22"/>
      <c r="C111" s="22"/>
      <c r="D111" s="22"/>
      <c r="E111" s="22"/>
      <c r="F111" s="20"/>
      <c r="G111" s="20"/>
      <c r="H111" s="20"/>
      <c r="I111" s="22"/>
      <c r="J111" s="17"/>
      <c r="K111" s="22"/>
      <c r="L111" s="22"/>
    </row>
    <row r="112" spans="2:12" x14ac:dyDescent="0.3">
      <c r="B112" s="22"/>
      <c r="C112" s="22"/>
      <c r="D112" s="22"/>
      <c r="E112" s="22"/>
      <c r="F112" s="20"/>
      <c r="G112" s="20"/>
      <c r="H112" s="20"/>
      <c r="I112" s="22"/>
      <c r="J112" s="17"/>
      <c r="K112" s="22"/>
      <c r="L112" s="22"/>
    </row>
    <row r="113" spans="2:12" x14ac:dyDescent="0.3">
      <c r="B113" s="22"/>
      <c r="C113" s="22"/>
      <c r="D113" s="22"/>
      <c r="E113" s="22"/>
      <c r="F113" s="20"/>
      <c r="G113" s="20"/>
      <c r="H113" s="20"/>
      <c r="I113" s="22"/>
      <c r="J113" s="17"/>
      <c r="K113" s="22"/>
      <c r="L113" s="22"/>
    </row>
    <row r="114" spans="2:12" x14ac:dyDescent="0.3">
      <c r="B114" s="22"/>
      <c r="C114" s="22"/>
      <c r="D114" s="22"/>
      <c r="E114" s="22"/>
      <c r="F114" s="20"/>
      <c r="G114" s="20"/>
      <c r="H114" s="20"/>
      <c r="I114" s="22"/>
      <c r="J114" s="17"/>
      <c r="K114" s="22"/>
      <c r="L114" s="22"/>
    </row>
    <row r="115" spans="2:12" x14ac:dyDescent="0.3">
      <c r="B115" s="22"/>
      <c r="C115" s="22"/>
      <c r="D115" s="22"/>
      <c r="E115" s="22"/>
      <c r="F115" s="20"/>
      <c r="G115" s="20"/>
      <c r="H115" s="20"/>
      <c r="I115" s="22"/>
      <c r="J115" s="17"/>
      <c r="K115" s="22"/>
      <c r="L115" s="22"/>
    </row>
    <row r="116" spans="2:12" x14ac:dyDescent="0.3">
      <c r="B116" s="22"/>
      <c r="C116" s="22"/>
      <c r="D116" s="22"/>
      <c r="E116" s="22"/>
      <c r="F116" s="20"/>
      <c r="G116" s="20"/>
      <c r="H116" s="20"/>
      <c r="I116" s="22"/>
      <c r="J116" s="17"/>
      <c r="K116" s="22"/>
      <c r="L116" s="22"/>
    </row>
    <row r="117" spans="2:12" x14ac:dyDescent="0.3">
      <c r="B117" s="22"/>
      <c r="C117" s="22"/>
      <c r="D117" s="22"/>
      <c r="E117" s="22"/>
      <c r="F117" s="20"/>
      <c r="G117" s="20"/>
      <c r="H117" s="20"/>
      <c r="I117" s="22"/>
      <c r="J117" s="17"/>
      <c r="K117" s="22"/>
      <c r="L117" s="22"/>
    </row>
    <row r="118" spans="2:12" x14ac:dyDescent="0.3">
      <c r="B118" s="22"/>
      <c r="C118" s="22"/>
      <c r="D118" s="22"/>
      <c r="E118" s="22"/>
      <c r="F118" s="20"/>
      <c r="G118" s="20"/>
      <c r="H118" s="20"/>
      <c r="I118" s="22"/>
      <c r="J118" s="17"/>
      <c r="K118" s="22"/>
      <c r="L118" s="22"/>
    </row>
    <row r="119" spans="2:12" x14ac:dyDescent="0.3">
      <c r="B119" s="22"/>
      <c r="C119" s="22"/>
      <c r="D119" s="22"/>
      <c r="E119" s="22"/>
      <c r="F119" s="20"/>
      <c r="G119" s="20"/>
      <c r="H119" s="20"/>
      <c r="I119" s="22"/>
      <c r="J119" s="17"/>
      <c r="K119" s="22"/>
      <c r="L119" s="22"/>
    </row>
    <row r="120" spans="2:12" x14ac:dyDescent="0.3">
      <c r="B120" s="22"/>
      <c r="C120" s="22"/>
      <c r="D120" s="22"/>
      <c r="E120" s="22"/>
      <c r="F120" s="20"/>
      <c r="G120" s="20"/>
      <c r="H120" s="20"/>
      <c r="I120" s="22"/>
      <c r="J120" s="17"/>
      <c r="K120" s="22"/>
      <c r="L120" s="22"/>
    </row>
    <row r="121" spans="2:12" x14ac:dyDescent="0.3">
      <c r="B121" s="22"/>
      <c r="C121" s="22"/>
      <c r="D121" s="22"/>
      <c r="E121" s="22"/>
      <c r="F121" s="20"/>
      <c r="G121" s="20"/>
      <c r="H121" s="20"/>
      <c r="I121" s="22"/>
      <c r="J121" s="17"/>
      <c r="K121" s="22"/>
      <c r="L121" s="22"/>
    </row>
    <row r="122" spans="2:12" x14ac:dyDescent="0.3">
      <c r="B122" s="22"/>
      <c r="C122" s="22"/>
      <c r="D122" s="22"/>
      <c r="E122" s="22"/>
      <c r="F122" s="20"/>
      <c r="G122" s="20"/>
      <c r="H122" s="20"/>
      <c r="I122" s="22"/>
      <c r="J122" s="17"/>
      <c r="K122" s="22"/>
      <c r="L122" s="22"/>
    </row>
    <row r="123" spans="2:12" x14ac:dyDescent="0.3">
      <c r="B123" s="22"/>
      <c r="C123" s="22"/>
      <c r="D123" s="22"/>
      <c r="E123" s="22"/>
      <c r="F123" s="20"/>
      <c r="G123" s="20"/>
      <c r="H123" s="20"/>
      <c r="I123" s="22"/>
      <c r="J123" s="17"/>
      <c r="K123" s="22"/>
      <c r="L123" s="22"/>
    </row>
    <row r="124" spans="2:12" x14ac:dyDescent="0.3">
      <c r="B124" s="22"/>
      <c r="C124" s="22"/>
      <c r="D124" s="22"/>
      <c r="E124" s="22"/>
      <c r="F124" s="20"/>
      <c r="G124" s="20"/>
      <c r="H124" s="20"/>
      <c r="I124" s="22"/>
      <c r="J124" s="17"/>
      <c r="K124" s="22"/>
      <c r="L124" s="22"/>
    </row>
    <row r="125" spans="2:12" x14ac:dyDescent="0.3">
      <c r="B125" s="22"/>
      <c r="C125" s="22"/>
      <c r="D125" s="22"/>
      <c r="E125" s="22"/>
      <c r="F125" s="20"/>
      <c r="G125" s="20"/>
      <c r="H125" s="20"/>
      <c r="I125" s="22"/>
      <c r="J125" s="17"/>
      <c r="K125" s="22"/>
      <c r="L125" s="22"/>
    </row>
    <row r="126" spans="2:12" x14ac:dyDescent="0.3">
      <c r="B126" s="22"/>
      <c r="C126" s="22"/>
      <c r="D126" s="22"/>
      <c r="E126" s="22"/>
      <c r="F126" s="20"/>
      <c r="G126" s="20"/>
      <c r="H126" s="20"/>
      <c r="I126" s="22"/>
      <c r="J126" s="17"/>
      <c r="K126" s="22"/>
      <c r="L126" s="22"/>
    </row>
    <row r="127" spans="2:12" x14ac:dyDescent="0.3">
      <c r="B127" s="22"/>
      <c r="C127" s="22"/>
      <c r="D127" s="22"/>
      <c r="E127" s="22"/>
      <c r="F127" s="20"/>
      <c r="G127" s="20"/>
      <c r="H127" s="20"/>
      <c r="I127" s="22"/>
      <c r="J127" s="17"/>
      <c r="K127" s="22"/>
      <c r="L127" s="22"/>
    </row>
    <row r="128" spans="2:12" x14ac:dyDescent="0.3">
      <c r="B128" s="22"/>
      <c r="C128" s="22"/>
      <c r="D128" s="22"/>
      <c r="E128" s="22"/>
      <c r="F128" s="20"/>
      <c r="G128" s="20"/>
      <c r="H128" s="20"/>
      <c r="I128" s="22"/>
      <c r="J128" s="17"/>
      <c r="K128" s="22"/>
      <c r="L128" s="22"/>
    </row>
    <row r="129" spans="2:12" x14ac:dyDescent="0.3">
      <c r="B129" s="22"/>
      <c r="C129" s="22"/>
      <c r="D129" s="22"/>
      <c r="E129" s="22"/>
      <c r="F129" s="20"/>
      <c r="G129" s="20"/>
      <c r="H129" s="20"/>
      <c r="I129" s="22"/>
      <c r="J129" s="17"/>
      <c r="K129" s="22"/>
      <c r="L129" s="22"/>
    </row>
    <row r="130" spans="2:12" x14ac:dyDescent="0.3">
      <c r="B130" s="22"/>
      <c r="C130" s="22"/>
      <c r="D130" s="22"/>
      <c r="E130" s="22"/>
      <c r="F130" s="20"/>
      <c r="G130" s="20"/>
      <c r="H130" s="20"/>
      <c r="I130" s="22"/>
      <c r="J130" s="17"/>
      <c r="K130" s="22"/>
      <c r="L130" s="22"/>
    </row>
    <row r="131" spans="2:12" x14ac:dyDescent="0.3">
      <c r="B131" s="22"/>
      <c r="C131" s="22"/>
      <c r="D131" s="22"/>
      <c r="E131" s="22"/>
      <c r="F131" s="20"/>
      <c r="G131" s="20"/>
      <c r="H131" s="20"/>
      <c r="I131" s="22"/>
      <c r="J131" s="17"/>
      <c r="K131" s="22"/>
      <c r="L131" s="22"/>
    </row>
    <row r="132" spans="2:12" x14ac:dyDescent="0.3">
      <c r="B132" s="22"/>
      <c r="C132" s="22"/>
      <c r="D132" s="22"/>
      <c r="E132" s="22"/>
      <c r="F132" s="20"/>
      <c r="G132" s="20"/>
      <c r="H132" s="20"/>
      <c r="I132" s="22"/>
      <c r="J132" s="17"/>
      <c r="K132" s="22"/>
      <c r="L132" s="22"/>
    </row>
    <row r="133" spans="2:12" x14ac:dyDescent="0.3">
      <c r="B133" s="22"/>
      <c r="C133" s="22"/>
      <c r="D133" s="22"/>
      <c r="E133" s="22"/>
      <c r="F133" s="20"/>
      <c r="G133" s="20"/>
      <c r="H133" s="20"/>
      <c r="I133" s="22"/>
      <c r="J133" s="17"/>
      <c r="K133" s="22"/>
      <c r="L133" s="22"/>
    </row>
    <row r="134" spans="2:12" x14ac:dyDescent="0.3">
      <c r="B134" s="22"/>
      <c r="C134" s="22"/>
      <c r="D134" s="22"/>
      <c r="E134" s="22"/>
      <c r="F134" s="20"/>
      <c r="G134" s="20"/>
      <c r="H134" s="20"/>
      <c r="I134" s="22"/>
      <c r="J134" s="17"/>
      <c r="K134" s="22"/>
      <c r="L134" s="22"/>
    </row>
    <row r="135" spans="2:12" x14ac:dyDescent="0.3">
      <c r="B135" s="22"/>
      <c r="C135" s="22"/>
      <c r="D135" s="22"/>
      <c r="E135" s="22"/>
      <c r="F135" s="20"/>
      <c r="G135" s="20"/>
      <c r="H135" s="20"/>
      <c r="I135" s="22"/>
      <c r="J135" s="17"/>
      <c r="K135" s="22"/>
      <c r="L135" s="22"/>
    </row>
    <row r="136" spans="2:12" x14ac:dyDescent="0.3">
      <c r="B136" s="22"/>
      <c r="C136" s="22"/>
      <c r="D136" s="22"/>
      <c r="E136" s="22"/>
      <c r="F136" s="20"/>
      <c r="G136" s="20"/>
      <c r="H136" s="20"/>
      <c r="I136" s="22"/>
      <c r="J136" s="17"/>
      <c r="K136" s="22"/>
      <c r="L136" s="22"/>
    </row>
    <row r="137" spans="2:12" x14ac:dyDescent="0.3">
      <c r="B137" s="22"/>
      <c r="C137" s="22"/>
      <c r="D137" s="22"/>
      <c r="E137" s="22"/>
      <c r="F137" s="20"/>
      <c r="G137" s="20"/>
      <c r="H137" s="20"/>
      <c r="I137" s="22"/>
      <c r="J137" s="17"/>
      <c r="K137" s="22"/>
      <c r="L137" s="22"/>
    </row>
    <row r="138" spans="2:12" x14ac:dyDescent="0.3">
      <c r="B138" s="22"/>
      <c r="C138" s="22"/>
      <c r="D138" s="22"/>
      <c r="E138" s="22"/>
      <c r="F138" s="20"/>
      <c r="G138" s="20"/>
      <c r="H138" s="20"/>
      <c r="I138" s="22"/>
      <c r="J138" s="17"/>
      <c r="K138" s="22"/>
      <c r="L138" s="22"/>
    </row>
    <row r="139" spans="2:12" x14ac:dyDescent="0.3">
      <c r="B139" s="22"/>
      <c r="C139" s="22"/>
      <c r="D139" s="22"/>
      <c r="E139" s="22"/>
      <c r="F139" s="20"/>
      <c r="G139" s="20"/>
      <c r="H139" s="20"/>
      <c r="I139" s="22"/>
      <c r="J139" s="17"/>
      <c r="K139" s="22"/>
      <c r="L139" s="22"/>
    </row>
    <row r="140" spans="2:12" x14ac:dyDescent="0.3">
      <c r="B140" s="22"/>
      <c r="C140" s="22"/>
      <c r="D140" s="22"/>
      <c r="E140" s="22"/>
      <c r="F140" s="20"/>
      <c r="G140" s="20"/>
      <c r="H140" s="20"/>
      <c r="I140" s="22"/>
      <c r="J140" s="17"/>
      <c r="K140" s="22"/>
      <c r="L140" s="22"/>
    </row>
    <row r="141" spans="2:12" x14ac:dyDescent="0.3">
      <c r="B141" s="22"/>
      <c r="C141" s="22"/>
      <c r="D141" s="22"/>
      <c r="E141" s="22"/>
      <c r="F141" s="20"/>
      <c r="G141" s="20"/>
      <c r="H141" s="20"/>
      <c r="I141" s="22"/>
      <c r="J141" s="17"/>
      <c r="K141" s="22"/>
      <c r="L141" s="22"/>
    </row>
    <row r="142" spans="2:12" x14ac:dyDescent="0.3">
      <c r="B142" s="22"/>
      <c r="C142" s="22"/>
      <c r="D142" s="22"/>
      <c r="E142" s="22"/>
      <c r="F142" s="20"/>
      <c r="G142" s="20"/>
      <c r="H142" s="20"/>
      <c r="I142" s="22"/>
      <c r="J142" s="17"/>
      <c r="K142" s="22"/>
      <c r="L142" s="22"/>
    </row>
    <row r="143" spans="2:12" x14ac:dyDescent="0.3">
      <c r="B143" s="22"/>
      <c r="C143" s="22"/>
      <c r="D143" s="22"/>
      <c r="E143" s="22"/>
      <c r="F143" s="20"/>
      <c r="G143" s="20"/>
      <c r="H143" s="20"/>
      <c r="I143" s="22"/>
      <c r="J143" s="17"/>
      <c r="K143" s="22"/>
      <c r="L143" s="22"/>
    </row>
    <row r="144" spans="2:12" x14ac:dyDescent="0.3">
      <c r="B144" s="22"/>
      <c r="C144" s="22"/>
      <c r="D144" s="22"/>
      <c r="E144" s="22"/>
      <c r="F144" s="20"/>
      <c r="G144" s="20"/>
      <c r="H144" s="20"/>
      <c r="I144" s="22"/>
      <c r="J144" s="17"/>
      <c r="K144" s="22"/>
      <c r="L144" s="22"/>
    </row>
    <row r="145" spans="2:12" x14ac:dyDescent="0.3">
      <c r="B145" s="22"/>
      <c r="C145" s="22"/>
      <c r="D145" s="22"/>
      <c r="E145" s="22"/>
      <c r="F145" s="20"/>
      <c r="G145" s="20"/>
      <c r="H145" s="20"/>
      <c r="I145" s="22"/>
      <c r="J145" s="17"/>
      <c r="K145" s="22"/>
      <c r="L145" s="22"/>
    </row>
    <row r="146" spans="2:12" x14ac:dyDescent="0.3">
      <c r="B146" s="22"/>
      <c r="C146" s="22"/>
      <c r="D146" s="22"/>
      <c r="E146" s="22"/>
      <c r="F146" s="20"/>
      <c r="G146" s="20"/>
      <c r="H146" s="20"/>
      <c r="I146" s="22"/>
      <c r="J146" s="17"/>
      <c r="K146" s="22"/>
      <c r="L146" s="22"/>
    </row>
    <row r="147" spans="2:12" x14ac:dyDescent="0.3">
      <c r="B147" s="22"/>
      <c r="C147" s="22"/>
      <c r="D147" s="22"/>
      <c r="E147" s="22"/>
      <c r="F147" s="20"/>
      <c r="G147" s="20"/>
      <c r="H147" s="20"/>
      <c r="I147" s="22"/>
      <c r="J147" s="17"/>
      <c r="K147" s="22"/>
      <c r="L147" s="22"/>
    </row>
    <row r="148" spans="2:12" x14ac:dyDescent="0.3">
      <c r="B148" s="22"/>
      <c r="C148" s="22"/>
      <c r="D148" s="22"/>
      <c r="E148" s="22"/>
      <c r="F148" s="20"/>
      <c r="G148" s="20"/>
      <c r="H148" s="20"/>
      <c r="I148" s="22"/>
      <c r="J148" s="17"/>
      <c r="K148" s="22"/>
      <c r="L148" s="22"/>
    </row>
    <row r="149" spans="2:12" x14ac:dyDescent="0.3">
      <c r="B149" s="22"/>
      <c r="C149" s="22"/>
      <c r="D149" s="22"/>
      <c r="E149" s="22"/>
      <c r="F149" s="20"/>
      <c r="G149" s="20"/>
      <c r="H149" s="20"/>
      <c r="I149" s="22"/>
      <c r="J149" s="17"/>
      <c r="K149" s="22"/>
      <c r="L149" s="22"/>
    </row>
    <row r="150" spans="2:12" x14ac:dyDescent="0.3">
      <c r="B150" s="22"/>
      <c r="C150" s="22"/>
      <c r="D150" s="22"/>
      <c r="E150" s="22"/>
      <c r="F150" s="20"/>
      <c r="G150" s="20"/>
      <c r="H150" s="20"/>
      <c r="I150" s="22"/>
      <c r="J150" s="17"/>
      <c r="K150" s="22"/>
      <c r="L150" s="22"/>
    </row>
    <row r="151" spans="2:12" x14ac:dyDescent="0.3">
      <c r="B151" s="22"/>
      <c r="C151" s="22"/>
      <c r="D151" s="22"/>
      <c r="E151" s="22"/>
      <c r="F151" s="20"/>
      <c r="G151" s="20"/>
      <c r="H151" s="20"/>
      <c r="I151" s="22"/>
      <c r="J151" s="17"/>
      <c r="K151" s="22"/>
      <c r="L151" s="22"/>
    </row>
    <row r="152" spans="2:12" x14ac:dyDescent="0.3">
      <c r="B152" s="22"/>
      <c r="C152" s="22"/>
      <c r="D152" s="22"/>
      <c r="E152" s="22"/>
      <c r="F152" s="20"/>
      <c r="G152" s="20"/>
      <c r="H152" s="20"/>
      <c r="I152" s="22"/>
      <c r="J152" s="17"/>
      <c r="K152" s="22"/>
      <c r="L152" s="22"/>
    </row>
    <row r="153" spans="2:12" x14ac:dyDescent="0.3">
      <c r="B153" s="22"/>
      <c r="C153" s="22"/>
      <c r="D153" s="22"/>
      <c r="E153" s="22"/>
      <c r="F153" s="20"/>
      <c r="G153" s="20"/>
      <c r="H153" s="20"/>
      <c r="I153" s="22"/>
      <c r="J153" s="17"/>
      <c r="K153" s="22"/>
      <c r="L153" s="22"/>
    </row>
    <row r="154" spans="2:12" x14ac:dyDescent="0.3">
      <c r="B154" s="22"/>
      <c r="C154" s="22"/>
      <c r="D154" s="22"/>
      <c r="E154" s="22"/>
      <c r="F154" s="20"/>
      <c r="G154" s="20"/>
      <c r="H154" s="20"/>
      <c r="I154" s="22"/>
      <c r="J154" s="17"/>
      <c r="K154" s="22"/>
      <c r="L154" s="22"/>
    </row>
    <row r="155" spans="2:12" x14ac:dyDescent="0.3">
      <c r="B155" s="22"/>
      <c r="C155" s="22"/>
      <c r="D155" s="22"/>
      <c r="E155" s="22"/>
      <c r="F155" s="20"/>
      <c r="G155" s="20"/>
      <c r="H155" s="20"/>
      <c r="I155" s="22"/>
      <c r="J155" s="17"/>
      <c r="K155" s="22"/>
      <c r="L155" s="22"/>
    </row>
    <row r="156" spans="2:12" x14ac:dyDescent="0.3">
      <c r="B156" s="22"/>
      <c r="C156" s="22"/>
      <c r="D156" s="22"/>
      <c r="E156" s="22"/>
      <c r="F156" s="20"/>
      <c r="G156" s="20"/>
      <c r="H156" s="20"/>
      <c r="I156" s="22"/>
      <c r="J156" s="17"/>
      <c r="K156" s="22"/>
      <c r="L156" s="22"/>
    </row>
    <row r="157" spans="2:12" x14ac:dyDescent="0.3">
      <c r="B157" s="22"/>
      <c r="C157" s="22"/>
      <c r="D157" s="22"/>
      <c r="E157" s="22"/>
      <c r="F157" s="20"/>
      <c r="G157" s="20"/>
      <c r="H157" s="20"/>
      <c r="I157" s="22"/>
      <c r="J157" s="17"/>
      <c r="K157" s="22"/>
      <c r="L157" s="22"/>
    </row>
    <row r="158" spans="2:12" x14ac:dyDescent="0.3">
      <c r="B158" s="22"/>
      <c r="C158" s="22"/>
      <c r="D158" s="22"/>
      <c r="E158" s="22"/>
      <c r="F158" s="20"/>
      <c r="G158" s="20"/>
      <c r="H158" s="20"/>
      <c r="I158" s="22"/>
      <c r="J158" s="17"/>
      <c r="K158" s="22"/>
      <c r="L158" s="22"/>
    </row>
    <row r="159" spans="2:12" x14ac:dyDescent="0.3">
      <c r="B159" s="22"/>
      <c r="C159" s="22"/>
      <c r="D159" s="22"/>
      <c r="E159" s="22"/>
      <c r="F159" s="20"/>
      <c r="G159" s="20"/>
      <c r="H159" s="20"/>
      <c r="I159" s="22"/>
      <c r="J159" s="17"/>
      <c r="K159" s="22"/>
      <c r="L159" s="22"/>
    </row>
    <row r="160" spans="2:12" x14ac:dyDescent="0.3">
      <c r="B160" s="22"/>
      <c r="C160" s="22"/>
      <c r="D160" s="22"/>
      <c r="E160" s="22"/>
      <c r="F160" s="20"/>
      <c r="G160" s="20"/>
      <c r="H160" s="20"/>
      <c r="I160" s="22"/>
      <c r="J160" s="17"/>
      <c r="K160" s="22"/>
      <c r="L160" s="22"/>
    </row>
    <row r="161" spans="2:12" x14ac:dyDescent="0.3">
      <c r="B161" s="22"/>
      <c r="C161" s="22"/>
      <c r="D161" s="22"/>
      <c r="E161" s="22"/>
      <c r="F161" s="20"/>
      <c r="G161" s="20"/>
      <c r="H161" s="20"/>
      <c r="I161" s="22"/>
      <c r="J161" s="17"/>
      <c r="K161" s="22"/>
      <c r="L161" s="22"/>
    </row>
    <row r="162" spans="2:12" x14ac:dyDescent="0.3">
      <c r="B162" s="22"/>
      <c r="C162" s="22"/>
      <c r="D162" s="22"/>
      <c r="E162" s="22"/>
      <c r="F162" s="20"/>
      <c r="G162" s="20"/>
      <c r="H162" s="20"/>
      <c r="I162" s="22"/>
      <c r="J162" s="17"/>
      <c r="K162" s="22"/>
      <c r="L162" s="22"/>
    </row>
    <row r="163" spans="2:12" x14ac:dyDescent="0.3">
      <c r="B163" s="22"/>
      <c r="C163" s="22"/>
      <c r="D163" s="22"/>
      <c r="E163" s="22"/>
      <c r="F163" s="20"/>
      <c r="G163" s="20"/>
      <c r="H163" s="20"/>
      <c r="I163" s="22"/>
      <c r="J163" s="17"/>
      <c r="K163" s="22"/>
      <c r="L163" s="22"/>
    </row>
    <row r="164" spans="2:12" x14ac:dyDescent="0.3">
      <c r="B164" s="22"/>
      <c r="C164" s="22"/>
      <c r="D164" s="22"/>
      <c r="E164" s="22"/>
      <c r="F164" s="20"/>
      <c r="G164" s="20"/>
      <c r="H164" s="20"/>
      <c r="I164" s="22"/>
      <c r="J164" s="17"/>
      <c r="K164" s="22"/>
      <c r="L164" s="22"/>
    </row>
    <row r="165" spans="2:12" x14ac:dyDescent="0.3">
      <c r="B165" s="22"/>
      <c r="C165" s="22"/>
      <c r="D165" s="22"/>
      <c r="E165" s="22"/>
      <c r="F165" s="20"/>
      <c r="G165" s="20"/>
      <c r="H165" s="20"/>
      <c r="I165" s="22"/>
      <c r="J165" s="17"/>
      <c r="K165" s="22"/>
      <c r="L165" s="22"/>
    </row>
    <row r="166" spans="2:12" x14ac:dyDescent="0.3">
      <c r="B166" s="22"/>
      <c r="C166" s="22"/>
      <c r="D166" s="22"/>
      <c r="E166" s="22"/>
      <c r="F166" s="20"/>
      <c r="G166" s="20"/>
      <c r="H166" s="20"/>
      <c r="I166" s="22"/>
      <c r="J166" s="17"/>
      <c r="K166" s="22"/>
      <c r="L166" s="22"/>
    </row>
    <row r="167" spans="2:12" x14ac:dyDescent="0.3">
      <c r="B167" s="22"/>
      <c r="C167" s="22"/>
      <c r="D167" s="22"/>
      <c r="E167" s="22"/>
      <c r="F167" s="20"/>
      <c r="G167" s="20"/>
      <c r="H167" s="20"/>
      <c r="I167" s="22"/>
      <c r="J167" s="17"/>
      <c r="K167" s="22"/>
      <c r="L167" s="22"/>
    </row>
    <row r="168" spans="2:12" x14ac:dyDescent="0.3">
      <c r="B168" s="22"/>
      <c r="C168" s="22"/>
      <c r="D168" s="22"/>
      <c r="E168" s="22"/>
      <c r="F168" s="20"/>
      <c r="G168" s="20"/>
      <c r="H168" s="20"/>
      <c r="I168" s="22"/>
      <c r="J168" s="17"/>
      <c r="K168" s="22"/>
      <c r="L168" s="22"/>
    </row>
    <row r="169" spans="2:12" x14ac:dyDescent="0.3">
      <c r="B169" s="22"/>
      <c r="C169" s="22"/>
      <c r="D169" s="22"/>
      <c r="E169" s="22"/>
      <c r="F169" s="20"/>
      <c r="G169" s="20"/>
      <c r="H169" s="20"/>
      <c r="I169" s="22"/>
      <c r="J169" s="17"/>
      <c r="K169" s="22"/>
      <c r="L169" s="22"/>
    </row>
    <row r="170" spans="2:12" x14ac:dyDescent="0.3">
      <c r="B170" s="22"/>
      <c r="C170" s="22"/>
      <c r="D170" s="22"/>
      <c r="E170" s="22"/>
      <c r="F170" s="20"/>
      <c r="G170" s="20"/>
      <c r="H170" s="20"/>
      <c r="I170" s="22"/>
      <c r="J170" s="17"/>
      <c r="K170" s="22"/>
      <c r="L170" s="22"/>
    </row>
    <row r="171" spans="2:12" x14ac:dyDescent="0.3">
      <c r="B171" s="22"/>
      <c r="C171" s="22"/>
      <c r="D171" s="22"/>
      <c r="E171" s="22"/>
      <c r="F171" s="20"/>
      <c r="G171" s="20"/>
      <c r="H171" s="20"/>
      <c r="I171" s="22"/>
      <c r="J171" s="17"/>
      <c r="K171" s="22"/>
      <c r="L171" s="22"/>
    </row>
    <row r="172" spans="2:12" x14ac:dyDescent="0.3">
      <c r="B172" s="22"/>
      <c r="C172" s="22"/>
      <c r="D172" s="22"/>
      <c r="E172" s="22"/>
      <c r="F172" s="20"/>
      <c r="G172" s="20"/>
      <c r="H172" s="20"/>
      <c r="I172" s="22"/>
      <c r="J172" s="17"/>
      <c r="K172" s="22"/>
      <c r="L172" s="22"/>
    </row>
    <row r="173" spans="2:12" x14ac:dyDescent="0.3">
      <c r="B173" s="22"/>
      <c r="C173" s="22"/>
      <c r="D173" s="22"/>
      <c r="E173" s="22"/>
      <c r="F173" s="20"/>
      <c r="G173" s="20"/>
      <c r="H173" s="20"/>
      <c r="I173" s="22"/>
      <c r="J173" s="17"/>
      <c r="K173" s="22"/>
      <c r="L173" s="22"/>
    </row>
    <row r="174" spans="2:12" x14ac:dyDescent="0.3">
      <c r="B174" s="22"/>
      <c r="C174" s="22"/>
      <c r="D174" s="22"/>
      <c r="E174" s="22"/>
      <c r="F174" s="20"/>
      <c r="G174" s="20"/>
      <c r="H174" s="20"/>
      <c r="I174" s="22"/>
      <c r="J174" s="17"/>
      <c r="K174" s="22"/>
      <c r="L174" s="22"/>
    </row>
    <row r="175" spans="2:12" x14ac:dyDescent="0.3">
      <c r="B175" s="22"/>
      <c r="C175" s="22"/>
      <c r="D175" s="22"/>
      <c r="E175" s="22"/>
      <c r="F175" s="20"/>
      <c r="G175" s="20"/>
      <c r="H175" s="20"/>
      <c r="I175" s="22"/>
      <c r="J175" s="17"/>
      <c r="K175" s="22"/>
      <c r="L175" s="22"/>
    </row>
    <row r="176" spans="2:12" x14ac:dyDescent="0.3">
      <c r="B176" s="22"/>
      <c r="C176" s="22"/>
      <c r="D176" s="22"/>
      <c r="E176" s="22"/>
      <c r="F176" s="20"/>
      <c r="G176" s="20"/>
      <c r="H176" s="20"/>
      <c r="I176" s="22"/>
      <c r="J176" s="17"/>
      <c r="K176" s="22"/>
      <c r="L176" s="22"/>
    </row>
    <row r="177" spans="2:12" x14ac:dyDescent="0.3">
      <c r="B177" s="22"/>
      <c r="C177" s="22"/>
      <c r="D177" s="22"/>
      <c r="E177" s="22"/>
      <c r="F177" s="20"/>
      <c r="G177" s="20"/>
      <c r="H177" s="20"/>
      <c r="I177" s="22"/>
      <c r="J177" s="17"/>
      <c r="K177" s="22"/>
      <c r="L177" s="22"/>
    </row>
    <row r="178" spans="2:12" x14ac:dyDescent="0.3">
      <c r="B178" s="22"/>
      <c r="C178" s="22"/>
      <c r="D178" s="22"/>
      <c r="E178" s="22"/>
      <c r="F178" s="20"/>
      <c r="G178" s="20"/>
      <c r="H178" s="20"/>
      <c r="I178" s="22"/>
      <c r="J178" s="17"/>
      <c r="K178" s="22"/>
      <c r="L178" s="22"/>
    </row>
    <row r="179" spans="2:12" x14ac:dyDescent="0.3">
      <c r="B179" s="22"/>
      <c r="C179" s="22"/>
      <c r="D179" s="22"/>
      <c r="E179" s="22"/>
      <c r="F179" s="20"/>
      <c r="G179" s="20"/>
      <c r="H179" s="20"/>
      <c r="I179" s="22"/>
      <c r="J179" s="17"/>
      <c r="K179" s="22"/>
      <c r="L179" s="22"/>
    </row>
    <row r="180" spans="2:12" x14ac:dyDescent="0.3">
      <c r="B180" s="22"/>
      <c r="C180" s="22"/>
      <c r="D180" s="22"/>
      <c r="E180" s="22"/>
      <c r="F180" s="20"/>
      <c r="G180" s="20"/>
      <c r="H180" s="20"/>
      <c r="I180" s="22"/>
      <c r="J180" s="17"/>
      <c r="K180" s="22"/>
      <c r="L180" s="22"/>
    </row>
    <row r="181" spans="2:12" x14ac:dyDescent="0.3">
      <c r="B181" s="22"/>
      <c r="C181" s="22"/>
      <c r="D181" s="22"/>
      <c r="E181" s="22"/>
      <c r="F181" s="20"/>
      <c r="G181" s="20"/>
      <c r="H181" s="20"/>
      <c r="I181" s="22"/>
      <c r="J181" s="17"/>
      <c r="K181" s="22"/>
      <c r="L181" s="22"/>
    </row>
    <row r="182" spans="2:12" x14ac:dyDescent="0.3">
      <c r="B182" s="22"/>
      <c r="C182" s="22"/>
      <c r="D182" s="22"/>
      <c r="E182" s="22"/>
      <c r="F182" s="20"/>
      <c r="G182" s="20"/>
      <c r="H182" s="20"/>
      <c r="I182" s="22"/>
      <c r="J182" s="17"/>
      <c r="K182" s="22"/>
      <c r="L182" s="22"/>
    </row>
    <row r="183" spans="2:12" x14ac:dyDescent="0.3">
      <c r="B183" s="22"/>
      <c r="C183" s="22"/>
      <c r="D183" s="22"/>
      <c r="E183" s="22"/>
      <c r="F183" s="20"/>
      <c r="G183" s="20"/>
      <c r="H183" s="20"/>
      <c r="I183" s="22"/>
      <c r="J183" s="17"/>
      <c r="K183" s="22"/>
      <c r="L183" s="22"/>
    </row>
    <row r="184" spans="2:12" x14ac:dyDescent="0.3">
      <c r="B184" s="22"/>
      <c r="C184" s="22"/>
      <c r="D184" s="22"/>
      <c r="E184" s="22"/>
      <c r="F184" s="20"/>
      <c r="G184" s="20"/>
      <c r="H184" s="20"/>
      <c r="I184" s="22"/>
      <c r="J184" s="17"/>
      <c r="K184" s="22"/>
      <c r="L184" s="22"/>
    </row>
    <row r="185" spans="2:12" x14ac:dyDescent="0.3">
      <c r="B185" s="22"/>
      <c r="C185" s="22"/>
      <c r="D185" s="22"/>
      <c r="E185" s="22"/>
      <c r="F185" s="20"/>
      <c r="G185" s="20"/>
      <c r="H185" s="20"/>
      <c r="I185" s="22"/>
      <c r="J185" s="17"/>
      <c r="K185" s="22"/>
      <c r="L185" s="22"/>
    </row>
    <row r="186" spans="2:12" x14ac:dyDescent="0.3">
      <c r="B186" s="22"/>
      <c r="C186" s="22"/>
      <c r="D186" s="22"/>
      <c r="E186" s="22"/>
      <c r="F186" s="20"/>
      <c r="G186" s="20"/>
      <c r="H186" s="20"/>
      <c r="I186" s="22"/>
      <c r="J186" s="17"/>
      <c r="K186" s="22"/>
      <c r="L186" s="22"/>
    </row>
    <row r="187" spans="2:12" x14ac:dyDescent="0.3">
      <c r="B187" s="22"/>
      <c r="C187" s="22"/>
      <c r="D187" s="22"/>
      <c r="E187" s="22"/>
      <c r="F187" s="20"/>
      <c r="G187" s="20"/>
      <c r="H187" s="20"/>
      <c r="I187" s="22"/>
      <c r="J187" s="17"/>
      <c r="K187" s="22"/>
      <c r="L187" s="22"/>
    </row>
    <row r="188" spans="2:12" x14ac:dyDescent="0.3">
      <c r="B188" s="22"/>
      <c r="C188" s="22"/>
      <c r="D188" s="22"/>
      <c r="E188" s="22"/>
      <c r="F188" s="20"/>
      <c r="G188" s="20"/>
      <c r="H188" s="20"/>
      <c r="I188" s="22"/>
      <c r="J188" s="17"/>
      <c r="K188" s="22"/>
      <c r="L188" s="22"/>
    </row>
    <row r="189" spans="2:12" x14ac:dyDescent="0.3">
      <c r="B189" s="22"/>
      <c r="C189" s="22"/>
      <c r="D189" s="22"/>
      <c r="E189" s="22"/>
      <c r="F189" s="20"/>
      <c r="G189" s="20"/>
      <c r="H189" s="20"/>
      <c r="I189" s="22"/>
      <c r="J189" s="17"/>
      <c r="K189" s="22"/>
      <c r="L189" s="22"/>
    </row>
    <row r="190" spans="2:12" x14ac:dyDescent="0.3">
      <c r="B190" s="22"/>
      <c r="C190" s="22"/>
      <c r="D190" s="22"/>
      <c r="E190" s="22"/>
      <c r="F190" s="20"/>
      <c r="G190" s="20"/>
      <c r="H190" s="20"/>
      <c r="I190" s="22"/>
      <c r="J190" s="17"/>
      <c r="K190" s="22"/>
      <c r="L190" s="22"/>
    </row>
    <row r="191" spans="2:12" x14ac:dyDescent="0.3">
      <c r="B191" s="22"/>
      <c r="C191" s="22"/>
      <c r="D191" s="22"/>
      <c r="E191" s="22"/>
      <c r="F191" s="20"/>
      <c r="G191" s="20"/>
      <c r="H191" s="20"/>
      <c r="I191" s="22"/>
      <c r="J191" s="17"/>
      <c r="K191" s="22"/>
      <c r="L191" s="22"/>
    </row>
    <row r="192" spans="2:12" x14ac:dyDescent="0.3">
      <c r="B192" s="22"/>
      <c r="C192" s="22"/>
      <c r="D192" s="22"/>
      <c r="E192" s="22"/>
      <c r="F192" s="20"/>
      <c r="G192" s="20"/>
      <c r="H192" s="20"/>
      <c r="I192" s="22"/>
      <c r="J192" s="17"/>
      <c r="K192" s="22"/>
      <c r="L192" s="22"/>
    </row>
    <row r="193" spans="2:12" x14ac:dyDescent="0.3">
      <c r="B193" s="22"/>
      <c r="C193" s="22"/>
      <c r="D193" s="22"/>
      <c r="E193" s="22"/>
      <c r="F193" s="20"/>
      <c r="G193" s="20"/>
      <c r="H193" s="20"/>
      <c r="I193" s="22"/>
      <c r="J193" s="17"/>
      <c r="K193" s="22"/>
      <c r="L193" s="22"/>
    </row>
    <row r="194" spans="2:12" x14ac:dyDescent="0.3">
      <c r="B194" s="22"/>
      <c r="C194" s="22"/>
      <c r="D194" s="22"/>
      <c r="E194" s="22"/>
      <c r="F194" s="20"/>
      <c r="G194" s="20"/>
      <c r="H194" s="20"/>
      <c r="I194" s="22"/>
      <c r="J194" s="17"/>
      <c r="K194" s="22"/>
      <c r="L194" s="22"/>
    </row>
    <row r="195" spans="2:12" x14ac:dyDescent="0.3">
      <c r="B195" s="22"/>
      <c r="C195" s="22"/>
      <c r="D195" s="22"/>
      <c r="E195" s="22"/>
      <c r="F195" s="20"/>
      <c r="G195" s="20"/>
      <c r="H195" s="20"/>
      <c r="I195" s="22"/>
      <c r="J195" s="17"/>
      <c r="K195" s="22"/>
      <c r="L195" s="22"/>
    </row>
    <row r="196" spans="2:12" x14ac:dyDescent="0.3">
      <c r="B196" s="22"/>
      <c r="C196" s="22"/>
      <c r="D196" s="22"/>
      <c r="E196" s="22"/>
      <c r="F196" s="20"/>
      <c r="G196" s="20"/>
      <c r="H196" s="20"/>
      <c r="I196" s="22"/>
      <c r="J196" s="17"/>
      <c r="K196" s="22"/>
      <c r="L196" s="22"/>
    </row>
    <row r="197" spans="2:12" x14ac:dyDescent="0.3">
      <c r="B197" s="22"/>
      <c r="C197" s="22"/>
      <c r="D197" s="22"/>
      <c r="E197" s="22"/>
      <c r="F197" s="20"/>
      <c r="G197" s="20"/>
      <c r="H197" s="20"/>
      <c r="I197" s="22"/>
      <c r="J197" s="17"/>
      <c r="K197" s="22"/>
      <c r="L197" s="22"/>
    </row>
    <row r="198" spans="2:12" x14ac:dyDescent="0.3">
      <c r="B198" s="22"/>
      <c r="C198" s="22"/>
      <c r="D198" s="22"/>
      <c r="E198" s="22"/>
      <c r="F198" s="20"/>
      <c r="G198" s="20"/>
      <c r="H198" s="20"/>
      <c r="I198" s="22"/>
      <c r="J198" s="17"/>
      <c r="K198" s="22"/>
      <c r="L198" s="22"/>
    </row>
    <row r="199" spans="2:12" x14ac:dyDescent="0.3">
      <c r="B199" s="22"/>
      <c r="C199" s="22"/>
      <c r="D199" s="22"/>
      <c r="E199" s="22"/>
      <c r="F199" s="20"/>
      <c r="G199" s="20"/>
      <c r="H199" s="20"/>
      <c r="I199" s="22"/>
      <c r="J199" s="17"/>
      <c r="K199" s="22"/>
      <c r="L199" s="22"/>
    </row>
    <row r="200" spans="2:12" x14ac:dyDescent="0.3">
      <c r="B200" s="22"/>
      <c r="C200" s="22"/>
      <c r="D200" s="22"/>
      <c r="E200" s="22"/>
      <c r="F200" s="20"/>
      <c r="G200" s="20"/>
      <c r="H200" s="20"/>
      <c r="I200" s="22"/>
      <c r="J200" s="17"/>
      <c r="K200" s="22"/>
      <c r="L200" s="22"/>
    </row>
    <row r="201" spans="2:12" x14ac:dyDescent="0.3">
      <c r="B201" s="22"/>
      <c r="C201" s="22"/>
      <c r="D201" s="22"/>
      <c r="E201" s="22"/>
      <c r="F201" s="20"/>
      <c r="G201" s="20"/>
      <c r="H201" s="20"/>
      <c r="I201" s="22"/>
      <c r="J201" s="17"/>
      <c r="K201" s="22"/>
      <c r="L201" s="22"/>
    </row>
    <row r="202" spans="2:12" x14ac:dyDescent="0.3">
      <c r="B202" s="22"/>
      <c r="C202" s="22"/>
      <c r="D202" s="22"/>
      <c r="E202" s="22"/>
      <c r="F202" s="20"/>
      <c r="G202" s="20"/>
      <c r="H202" s="20"/>
      <c r="I202" s="22"/>
      <c r="J202" s="17"/>
      <c r="K202" s="22"/>
      <c r="L202" s="22"/>
    </row>
    <row r="203" spans="2:12" x14ac:dyDescent="0.3">
      <c r="B203" s="22"/>
      <c r="C203" s="22"/>
      <c r="D203" s="22"/>
      <c r="E203" s="22"/>
      <c r="F203" s="20"/>
      <c r="G203" s="20"/>
      <c r="H203" s="20"/>
      <c r="I203" s="22"/>
      <c r="J203" s="17"/>
      <c r="K203" s="22"/>
      <c r="L203" s="22"/>
    </row>
    <row r="204" spans="2:12" x14ac:dyDescent="0.3">
      <c r="B204" s="22"/>
      <c r="C204" s="22"/>
      <c r="D204" s="22"/>
      <c r="E204" s="22"/>
      <c r="F204" s="20"/>
      <c r="G204" s="20"/>
      <c r="H204" s="20"/>
      <c r="I204" s="22"/>
      <c r="J204" s="17"/>
      <c r="K204" s="22"/>
      <c r="L204" s="22"/>
    </row>
    <row r="205" spans="2:12" x14ac:dyDescent="0.3">
      <c r="B205" s="22"/>
      <c r="C205" s="22"/>
      <c r="D205" s="22"/>
      <c r="E205" s="22"/>
      <c r="F205" s="20"/>
      <c r="G205" s="20"/>
      <c r="H205" s="20"/>
      <c r="I205" s="22"/>
      <c r="J205" s="17"/>
      <c r="K205" s="22"/>
      <c r="L205" s="22"/>
    </row>
    <row r="206" spans="2:12" x14ac:dyDescent="0.3">
      <c r="B206" s="22"/>
      <c r="C206" s="22"/>
      <c r="D206" s="22"/>
      <c r="E206" s="22"/>
      <c r="F206" s="20"/>
      <c r="G206" s="20"/>
      <c r="H206" s="20"/>
      <c r="I206" s="22"/>
      <c r="J206" s="17"/>
      <c r="K206" s="22"/>
      <c r="L206" s="22"/>
    </row>
    <row r="207" spans="2:12" x14ac:dyDescent="0.3">
      <c r="B207" s="22"/>
      <c r="C207" s="22"/>
      <c r="D207" s="22"/>
      <c r="E207" s="22"/>
      <c r="F207" s="20"/>
      <c r="G207" s="20"/>
      <c r="H207" s="20"/>
      <c r="I207" s="22"/>
      <c r="J207" s="17"/>
      <c r="K207" s="22"/>
      <c r="L207" s="22"/>
    </row>
    <row r="208" spans="2:12" x14ac:dyDescent="0.3">
      <c r="B208" s="22"/>
      <c r="C208" s="22"/>
      <c r="D208" s="22"/>
      <c r="E208" s="22"/>
      <c r="F208" s="20"/>
      <c r="G208" s="20"/>
      <c r="H208" s="20"/>
      <c r="I208" s="22"/>
      <c r="J208" s="17"/>
      <c r="K208" s="22"/>
      <c r="L208" s="22"/>
    </row>
    <row r="209" spans="2:12" x14ac:dyDescent="0.3">
      <c r="B209" s="22"/>
      <c r="C209" s="22"/>
      <c r="D209" s="22"/>
      <c r="E209" s="22"/>
      <c r="F209" s="20"/>
      <c r="G209" s="20"/>
      <c r="H209" s="20"/>
      <c r="I209" s="22"/>
      <c r="J209" s="17"/>
      <c r="K209" s="22"/>
      <c r="L209" s="22"/>
    </row>
    <row r="210" spans="2:12" x14ac:dyDescent="0.3">
      <c r="B210" s="22"/>
      <c r="C210" s="22"/>
      <c r="D210" s="22"/>
      <c r="E210" s="22"/>
      <c r="F210" s="20"/>
      <c r="G210" s="20"/>
      <c r="H210" s="20"/>
      <c r="I210" s="22"/>
      <c r="J210" s="17"/>
      <c r="K210" s="22"/>
      <c r="L210" s="22"/>
    </row>
    <row r="211" spans="2:12" x14ac:dyDescent="0.3">
      <c r="B211" s="22"/>
      <c r="C211" s="22"/>
      <c r="D211" s="22"/>
      <c r="E211" s="22"/>
      <c r="F211" s="20"/>
      <c r="G211" s="20"/>
      <c r="H211" s="20"/>
      <c r="I211" s="22"/>
      <c r="J211" s="17"/>
      <c r="K211" s="22"/>
      <c r="L211" s="22"/>
    </row>
    <row r="212" spans="2:12" x14ac:dyDescent="0.3">
      <c r="B212" s="22"/>
      <c r="C212" s="22"/>
      <c r="D212" s="22"/>
      <c r="E212" s="22"/>
      <c r="F212" s="20"/>
      <c r="G212" s="20"/>
      <c r="H212" s="20"/>
      <c r="I212" s="22"/>
      <c r="J212" s="17"/>
      <c r="K212" s="22"/>
      <c r="L212" s="22"/>
    </row>
    <row r="213" spans="2:12" x14ac:dyDescent="0.3">
      <c r="B213" s="22"/>
      <c r="C213" s="22"/>
      <c r="D213" s="22"/>
      <c r="E213" s="22"/>
      <c r="F213" s="20"/>
      <c r="G213" s="20"/>
      <c r="H213" s="20"/>
      <c r="I213" s="22"/>
      <c r="J213" s="17"/>
      <c r="K213" s="22"/>
      <c r="L213" s="22"/>
    </row>
    <row r="214" spans="2:12" x14ac:dyDescent="0.3">
      <c r="B214" s="22"/>
      <c r="C214" s="22"/>
      <c r="D214" s="22"/>
      <c r="E214" s="22"/>
      <c r="F214" s="20"/>
      <c r="G214" s="20"/>
      <c r="H214" s="20"/>
      <c r="I214" s="22"/>
      <c r="J214" s="17"/>
      <c r="K214" s="22"/>
      <c r="L214" s="22"/>
    </row>
    <row r="215" spans="2:12" x14ac:dyDescent="0.3">
      <c r="B215" s="22"/>
      <c r="C215" s="22"/>
      <c r="D215" s="22"/>
      <c r="E215" s="22"/>
      <c r="F215" s="20"/>
      <c r="G215" s="20"/>
      <c r="H215" s="20"/>
      <c r="I215" s="22"/>
      <c r="J215" s="17"/>
      <c r="K215" s="22"/>
      <c r="L215" s="22"/>
    </row>
    <row r="216" spans="2:12" x14ac:dyDescent="0.3">
      <c r="B216" s="22"/>
      <c r="C216" s="22"/>
      <c r="D216" s="22"/>
      <c r="E216" s="22"/>
      <c r="F216" s="20"/>
      <c r="G216" s="20"/>
      <c r="H216" s="20"/>
      <c r="I216" s="22"/>
      <c r="J216" s="17"/>
      <c r="K216" s="22"/>
      <c r="L216" s="22"/>
    </row>
    <row r="217" spans="2:12" x14ac:dyDescent="0.3">
      <c r="B217" s="22"/>
      <c r="C217" s="22"/>
      <c r="D217" s="22"/>
      <c r="E217" s="22"/>
      <c r="F217" s="20"/>
      <c r="G217" s="20"/>
      <c r="H217" s="20"/>
      <c r="I217" s="22"/>
      <c r="J217" s="17"/>
      <c r="K217" s="22"/>
      <c r="L217" s="22"/>
    </row>
    <row r="218" spans="2:12" x14ac:dyDescent="0.3">
      <c r="B218" s="22"/>
      <c r="C218" s="22"/>
      <c r="D218" s="22"/>
      <c r="E218" s="22"/>
      <c r="F218" s="20"/>
      <c r="G218" s="20"/>
      <c r="H218" s="20"/>
      <c r="I218" s="22"/>
      <c r="J218" s="17"/>
      <c r="K218" s="22"/>
      <c r="L218" s="22"/>
    </row>
    <row r="219" spans="2:12" x14ac:dyDescent="0.3">
      <c r="B219" s="22"/>
      <c r="C219" s="22"/>
      <c r="D219" s="22"/>
      <c r="E219" s="22"/>
      <c r="F219" s="20"/>
      <c r="G219" s="20"/>
      <c r="H219" s="20"/>
      <c r="I219" s="22"/>
      <c r="J219" s="17"/>
      <c r="K219" s="22"/>
      <c r="L219" s="22"/>
    </row>
    <row r="220" spans="2:12" x14ac:dyDescent="0.3">
      <c r="B220" s="22"/>
      <c r="C220" s="22"/>
      <c r="D220" s="22"/>
      <c r="E220" s="22"/>
      <c r="F220" s="20"/>
      <c r="G220" s="20"/>
      <c r="H220" s="20"/>
      <c r="I220" s="22"/>
      <c r="J220" s="17"/>
      <c r="K220" s="22"/>
      <c r="L220" s="22"/>
    </row>
    <row r="221" spans="2:12" x14ac:dyDescent="0.3">
      <c r="B221" s="22"/>
      <c r="C221" s="22"/>
      <c r="D221" s="22"/>
      <c r="E221" s="22"/>
      <c r="F221" s="20"/>
      <c r="G221" s="20"/>
      <c r="H221" s="20"/>
      <c r="I221" s="22"/>
      <c r="J221" s="17"/>
      <c r="K221" s="22"/>
      <c r="L221" s="22"/>
    </row>
    <row r="222" spans="2:12" x14ac:dyDescent="0.3">
      <c r="B222" s="22"/>
      <c r="C222" s="22"/>
      <c r="D222" s="22"/>
      <c r="E222" s="22"/>
      <c r="F222" s="20"/>
      <c r="G222" s="20"/>
      <c r="H222" s="20"/>
      <c r="I222" s="22"/>
      <c r="J222" s="17"/>
      <c r="K222" s="22"/>
      <c r="L222" s="22"/>
    </row>
    <row r="223" spans="2:12" x14ac:dyDescent="0.3">
      <c r="B223" s="22"/>
      <c r="C223" s="22"/>
      <c r="D223" s="22"/>
      <c r="E223" s="22"/>
      <c r="F223" s="20"/>
      <c r="G223" s="20"/>
      <c r="H223" s="20"/>
      <c r="I223" s="22"/>
      <c r="J223" s="17"/>
      <c r="K223" s="22"/>
      <c r="L223" s="22"/>
    </row>
    <row r="224" spans="2:12" x14ac:dyDescent="0.3">
      <c r="B224" s="22"/>
      <c r="C224" s="22"/>
      <c r="D224" s="22"/>
      <c r="E224" s="22"/>
      <c r="F224" s="20"/>
      <c r="G224" s="20"/>
      <c r="H224" s="20"/>
      <c r="I224" s="22"/>
      <c r="J224" s="17"/>
      <c r="K224" s="22"/>
      <c r="L224" s="22"/>
    </row>
    <row r="225" spans="2:12" x14ac:dyDescent="0.3">
      <c r="B225" s="22"/>
      <c r="C225" s="22"/>
      <c r="D225" s="22"/>
      <c r="E225" s="22"/>
      <c r="F225" s="20"/>
      <c r="G225" s="20"/>
      <c r="H225" s="20"/>
      <c r="I225" s="22"/>
      <c r="J225" s="17"/>
      <c r="K225" s="22"/>
      <c r="L225" s="22"/>
    </row>
    <row r="226" spans="2:12" x14ac:dyDescent="0.3">
      <c r="B226" s="22"/>
      <c r="C226" s="22"/>
      <c r="D226" s="22"/>
      <c r="E226" s="22"/>
      <c r="F226" s="20"/>
      <c r="G226" s="20"/>
      <c r="H226" s="20"/>
      <c r="I226" s="22"/>
      <c r="J226" s="17"/>
      <c r="K226" s="22"/>
      <c r="L226" s="22"/>
    </row>
    <row r="227" spans="2:12" x14ac:dyDescent="0.3">
      <c r="B227" s="22"/>
      <c r="C227" s="22"/>
      <c r="D227" s="22"/>
      <c r="E227" s="22"/>
      <c r="F227" s="20"/>
      <c r="G227" s="20"/>
      <c r="H227" s="20"/>
      <c r="I227" s="22"/>
      <c r="J227" s="17"/>
      <c r="K227" s="22"/>
      <c r="L227" s="22"/>
    </row>
    <row r="228" spans="2:12" x14ac:dyDescent="0.3">
      <c r="B228" s="22"/>
      <c r="C228" s="22"/>
      <c r="D228" s="22"/>
      <c r="E228" s="22"/>
      <c r="F228" s="20"/>
      <c r="G228" s="20"/>
      <c r="H228" s="20"/>
      <c r="I228" s="22"/>
      <c r="J228" s="17"/>
      <c r="K228" s="22"/>
      <c r="L228" s="22"/>
    </row>
    <row r="229" spans="2:12" x14ac:dyDescent="0.3">
      <c r="B229" s="22"/>
      <c r="C229" s="22"/>
      <c r="D229" s="22"/>
      <c r="E229" s="22"/>
      <c r="F229" s="20"/>
      <c r="G229" s="20"/>
      <c r="H229" s="20"/>
      <c r="I229" s="22"/>
      <c r="J229" s="17"/>
      <c r="K229" s="22"/>
      <c r="L229" s="22"/>
    </row>
    <row r="230" spans="2:12" x14ac:dyDescent="0.3">
      <c r="B230" s="22"/>
      <c r="C230" s="22"/>
      <c r="D230" s="22"/>
      <c r="E230" s="22"/>
      <c r="F230" s="20"/>
      <c r="G230" s="20"/>
      <c r="H230" s="20"/>
      <c r="I230" s="22"/>
      <c r="J230" s="17"/>
      <c r="K230" s="22"/>
      <c r="L230" s="22"/>
    </row>
    <row r="231" spans="2:12" x14ac:dyDescent="0.3">
      <c r="B231" s="22"/>
      <c r="C231" s="22"/>
      <c r="D231" s="22"/>
      <c r="E231" s="22"/>
      <c r="F231" s="20"/>
      <c r="G231" s="20"/>
      <c r="H231" s="20"/>
      <c r="I231" s="22"/>
      <c r="J231" s="17"/>
      <c r="K231" s="22"/>
      <c r="L231" s="22"/>
    </row>
    <row r="232" spans="2:12" x14ac:dyDescent="0.3">
      <c r="B232" s="22"/>
      <c r="C232" s="22"/>
      <c r="D232" s="22"/>
      <c r="E232" s="22"/>
      <c r="F232" s="20"/>
      <c r="G232" s="20"/>
      <c r="H232" s="20"/>
      <c r="I232" s="22"/>
      <c r="J232" s="17"/>
      <c r="K232" s="22"/>
      <c r="L232" s="22"/>
    </row>
    <row r="233" spans="2:12" x14ac:dyDescent="0.3">
      <c r="B233" s="22"/>
      <c r="C233" s="22"/>
      <c r="D233" s="22"/>
      <c r="E233" s="22"/>
      <c r="F233" s="20"/>
      <c r="G233" s="20"/>
      <c r="H233" s="20"/>
      <c r="I233" s="22"/>
      <c r="J233" s="17"/>
      <c r="K233" s="22"/>
      <c r="L233" s="22"/>
    </row>
    <row r="234" spans="2:12" x14ac:dyDescent="0.3">
      <c r="B234" s="22"/>
      <c r="C234" s="22"/>
      <c r="D234" s="22"/>
      <c r="E234" s="22"/>
      <c r="F234" s="20"/>
      <c r="G234" s="20"/>
      <c r="H234" s="20"/>
      <c r="I234" s="22"/>
      <c r="J234" s="17"/>
      <c r="K234" s="22"/>
      <c r="L234" s="22"/>
    </row>
    <row r="235" spans="2:12" x14ac:dyDescent="0.3">
      <c r="B235" s="22"/>
      <c r="C235" s="22"/>
      <c r="D235" s="22"/>
      <c r="E235" s="22"/>
      <c r="F235" s="20"/>
      <c r="G235" s="20"/>
      <c r="H235" s="20"/>
      <c r="I235" s="22"/>
      <c r="J235" s="17"/>
      <c r="K235" s="22"/>
      <c r="L235" s="22"/>
    </row>
    <row r="236" spans="2:12" x14ac:dyDescent="0.3">
      <c r="B236" s="22"/>
      <c r="C236" s="22"/>
      <c r="D236" s="22"/>
      <c r="E236" s="22"/>
      <c r="F236" s="20"/>
      <c r="G236" s="20"/>
      <c r="H236" s="20"/>
      <c r="I236" s="22"/>
      <c r="J236" s="17"/>
      <c r="K236" s="22"/>
      <c r="L236" s="22"/>
    </row>
    <row r="237" spans="2:12" x14ac:dyDescent="0.3">
      <c r="B237" s="22"/>
      <c r="C237" s="22"/>
      <c r="D237" s="22"/>
      <c r="E237" s="22"/>
      <c r="F237" s="20"/>
      <c r="G237" s="20"/>
      <c r="H237" s="20"/>
      <c r="I237" s="22"/>
      <c r="J237" s="17"/>
      <c r="K237" s="22"/>
      <c r="L237" s="22"/>
    </row>
    <row r="238" spans="2:12" x14ac:dyDescent="0.3">
      <c r="B238" s="22"/>
      <c r="C238" s="22"/>
      <c r="D238" s="22"/>
      <c r="E238" s="22"/>
      <c r="F238" s="20"/>
      <c r="G238" s="20"/>
      <c r="H238" s="20"/>
      <c r="I238" s="22"/>
      <c r="J238" s="17"/>
      <c r="K238" s="22"/>
      <c r="L238" s="22"/>
    </row>
    <row r="239" spans="2:12" x14ac:dyDescent="0.3">
      <c r="B239" s="22"/>
      <c r="C239" s="22"/>
      <c r="D239" s="22"/>
      <c r="E239" s="22"/>
      <c r="F239" s="20"/>
      <c r="G239" s="20"/>
      <c r="H239" s="20"/>
      <c r="I239" s="22"/>
      <c r="J239" s="17"/>
      <c r="K239" s="22"/>
      <c r="L239" s="22"/>
    </row>
    <row r="240" spans="2:12" x14ac:dyDescent="0.3">
      <c r="B240" s="22"/>
      <c r="C240" s="22"/>
      <c r="D240" s="22"/>
      <c r="E240" s="22"/>
      <c r="F240" s="20"/>
      <c r="G240" s="20"/>
      <c r="H240" s="20"/>
      <c r="I240" s="22"/>
      <c r="J240" s="17"/>
      <c r="K240" s="22"/>
      <c r="L240" s="22"/>
    </row>
    <row r="241" spans="2:12" x14ac:dyDescent="0.3">
      <c r="B241" s="22"/>
      <c r="C241" s="22"/>
      <c r="D241" s="22"/>
      <c r="E241" s="22"/>
      <c r="F241" s="20"/>
      <c r="G241" s="20"/>
      <c r="H241" s="20"/>
      <c r="I241" s="22"/>
      <c r="J241" s="17"/>
      <c r="K241" s="22"/>
      <c r="L241" s="22"/>
    </row>
    <row r="242" spans="2:12" x14ac:dyDescent="0.3">
      <c r="B242" s="22"/>
      <c r="C242" s="22"/>
      <c r="D242" s="22"/>
      <c r="E242" s="22"/>
      <c r="F242" s="20"/>
      <c r="G242" s="20"/>
      <c r="H242" s="20"/>
      <c r="I242" s="22"/>
      <c r="J242" s="17"/>
      <c r="K242" s="22"/>
      <c r="L242" s="22"/>
    </row>
    <row r="243" spans="2:12" x14ac:dyDescent="0.3">
      <c r="B243" s="22"/>
      <c r="C243" s="22"/>
      <c r="D243" s="22"/>
      <c r="E243" s="22"/>
      <c r="F243" s="20"/>
      <c r="G243" s="20"/>
      <c r="H243" s="20"/>
      <c r="I243" s="22"/>
      <c r="J243" s="17"/>
      <c r="K243" s="22"/>
      <c r="L243" s="22"/>
    </row>
    <row r="244" spans="2:12" x14ac:dyDescent="0.3">
      <c r="B244" s="22"/>
      <c r="C244" s="22"/>
      <c r="D244" s="22"/>
      <c r="E244" s="22"/>
      <c r="F244" s="20"/>
      <c r="G244" s="20"/>
      <c r="H244" s="20"/>
      <c r="I244" s="22"/>
      <c r="J244" s="17"/>
      <c r="K244" s="22"/>
      <c r="L244" s="22"/>
    </row>
    <row r="245" spans="2:12" x14ac:dyDescent="0.3">
      <c r="B245" s="22"/>
      <c r="C245" s="22"/>
      <c r="D245" s="22"/>
      <c r="E245" s="22"/>
      <c r="F245" s="20"/>
      <c r="G245" s="20"/>
      <c r="H245" s="20"/>
      <c r="I245" s="22"/>
      <c r="J245" s="17"/>
      <c r="K245" s="22"/>
      <c r="L245" s="22"/>
    </row>
    <row r="246" spans="2:12" x14ac:dyDescent="0.3">
      <c r="B246" s="22"/>
      <c r="C246" s="22"/>
      <c r="D246" s="22"/>
      <c r="E246" s="22"/>
      <c r="F246" s="20"/>
      <c r="G246" s="20"/>
      <c r="H246" s="20"/>
      <c r="I246" s="22"/>
      <c r="J246" s="17"/>
      <c r="K246" s="22"/>
      <c r="L246" s="22"/>
    </row>
    <row r="247" spans="2:12" x14ac:dyDescent="0.3">
      <c r="B247" s="22"/>
      <c r="C247" s="22"/>
      <c r="D247" s="22"/>
      <c r="E247" s="22"/>
      <c r="F247" s="20"/>
      <c r="G247" s="20"/>
      <c r="H247" s="20"/>
      <c r="I247" s="22"/>
      <c r="J247" s="17"/>
      <c r="K247" s="22"/>
      <c r="L247" s="22"/>
    </row>
    <row r="248" spans="2:12" x14ac:dyDescent="0.3">
      <c r="B248" s="22"/>
      <c r="C248" s="22"/>
      <c r="D248" s="22"/>
      <c r="E248" s="22"/>
      <c r="F248" s="20"/>
      <c r="G248" s="20"/>
      <c r="H248" s="20"/>
      <c r="I248" s="22"/>
      <c r="J248" s="17"/>
      <c r="K248" s="22"/>
      <c r="L248" s="22"/>
    </row>
    <row r="249" spans="2:12" x14ac:dyDescent="0.3">
      <c r="B249" s="22"/>
      <c r="C249" s="22"/>
      <c r="D249" s="22"/>
      <c r="E249" s="22"/>
      <c r="F249" s="20"/>
      <c r="G249" s="20"/>
      <c r="H249" s="20"/>
      <c r="I249" s="22"/>
      <c r="J249" s="17"/>
      <c r="K249" s="22"/>
      <c r="L249" s="22"/>
    </row>
    <row r="250" spans="2:12" x14ac:dyDescent="0.3">
      <c r="B250" s="22"/>
      <c r="C250" s="22"/>
      <c r="D250" s="22"/>
      <c r="E250" s="22"/>
      <c r="F250" s="20"/>
      <c r="G250" s="20"/>
      <c r="H250" s="20"/>
      <c r="I250" s="22"/>
      <c r="J250" s="17"/>
      <c r="K250" s="22"/>
      <c r="L250" s="22"/>
    </row>
    <row r="251" spans="2:12" x14ac:dyDescent="0.3">
      <c r="B251" s="22"/>
      <c r="C251" s="22"/>
      <c r="D251" s="22"/>
      <c r="E251" s="22"/>
      <c r="F251" s="20"/>
      <c r="G251" s="20"/>
      <c r="H251" s="20"/>
      <c r="I251" s="22"/>
      <c r="J251" s="17"/>
      <c r="K251" s="22"/>
      <c r="L251" s="22"/>
    </row>
    <row r="252" spans="2:12" x14ac:dyDescent="0.3">
      <c r="B252" s="22"/>
      <c r="C252" s="22"/>
      <c r="D252" s="22"/>
      <c r="E252" s="22"/>
      <c r="F252" s="20"/>
      <c r="G252" s="20"/>
      <c r="H252" s="20"/>
      <c r="I252" s="22"/>
      <c r="J252" s="17"/>
      <c r="K252" s="22"/>
      <c r="L252" s="22"/>
    </row>
    <row r="253" spans="2:12" x14ac:dyDescent="0.3">
      <c r="B253" s="22"/>
      <c r="C253" s="22"/>
      <c r="D253" s="22"/>
      <c r="E253" s="22"/>
      <c r="F253" s="20"/>
      <c r="G253" s="20"/>
      <c r="H253" s="20"/>
      <c r="I253" s="22"/>
      <c r="J253" s="17"/>
      <c r="K253" s="22"/>
      <c r="L253" s="22"/>
    </row>
    <row r="254" spans="2:12" x14ac:dyDescent="0.3">
      <c r="B254" s="22"/>
      <c r="C254" s="22"/>
      <c r="D254" s="22"/>
      <c r="E254" s="22"/>
      <c r="F254" s="20"/>
      <c r="G254" s="20"/>
      <c r="H254" s="20"/>
      <c r="I254" s="22"/>
      <c r="J254" s="17"/>
      <c r="K254" s="22"/>
      <c r="L254" s="22"/>
    </row>
    <row r="255" spans="2:12" x14ac:dyDescent="0.3">
      <c r="B255" s="22"/>
      <c r="C255" s="22"/>
      <c r="D255" s="22"/>
      <c r="E255" s="22"/>
      <c r="F255" s="20"/>
      <c r="G255" s="20"/>
      <c r="H255" s="20"/>
      <c r="I255" s="22"/>
      <c r="J255" s="17"/>
      <c r="K255" s="22"/>
      <c r="L255" s="22"/>
    </row>
    <row r="256" spans="2:12" x14ac:dyDescent="0.3">
      <c r="B256" s="22"/>
      <c r="C256" s="22"/>
      <c r="D256" s="22"/>
      <c r="E256" s="22"/>
      <c r="F256" s="20"/>
      <c r="G256" s="20"/>
      <c r="H256" s="20"/>
      <c r="I256" s="22"/>
      <c r="J256" s="17"/>
      <c r="K256" s="22"/>
      <c r="L256" s="22"/>
    </row>
    <row r="257" spans="2:12" x14ac:dyDescent="0.3">
      <c r="B257" s="22"/>
      <c r="C257" s="22"/>
      <c r="D257" s="22"/>
      <c r="E257" s="22"/>
      <c r="F257" s="20"/>
      <c r="G257" s="20"/>
      <c r="H257" s="20"/>
      <c r="I257" s="22"/>
      <c r="J257" s="17"/>
      <c r="K257" s="22"/>
      <c r="L257" s="22"/>
    </row>
    <row r="258" spans="2:12" x14ac:dyDescent="0.3">
      <c r="B258" s="22"/>
      <c r="C258" s="22"/>
      <c r="D258" s="22"/>
      <c r="E258" s="22"/>
      <c r="F258" s="20"/>
      <c r="G258" s="20"/>
      <c r="H258" s="20"/>
      <c r="I258" s="22"/>
      <c r="J258" s="17"/>
      <c r="K258" s="22"/>
      <c r="L258" s="22"/>
    </row>
    <row r="259" spans="2:12" x14ac:dyDescent="0.3">
      <c r="B259" s="22"/>
      <c r="C259" s="22"/>
      <c r="D259" s="22"/>
      <c r="E259" s="22"/>
      <c r="F259" s="20"/>
      <c r="G259" s="20"/>
      <c r="H259" s="20"/>
      <c r="I259" s="22"/>
      <c r="J259" s="17"/>
      <c r="K259" s="22"/>
      <c r="L259" s="22"/>
    </row>
    <row r="260" spans="2:12" x14ac:dyDescent="0.3">
      <c r="B260" s="22"/>
      <c r="C260" s="22"/>
      <c r="D260" s="22"/>
      <c r="E260" s="22"/>
      <c r="F260" s="20"/>
      <c r="G260" s="20"/>
      <c r="H260" s="20"/>
      <c r="I260" s="22"/>
      <c r="J260" s="17"/>
      <c r="K260" s="22"/>
      <c r="L260" s="22"/>
    </row>
    <row r="261" spans="2:12" x14ac:dyDescent="0.3">
      <c r="D261" s="23"/>
      <c r="E261" s="23"/>
      <c r="F261" s="21"/>
      <c r="K261" s="23"/>
      <c r="L261" s="23"/>
    </row>
  </sheetData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76BCD-B6EA-48BA-A1CE-ABC0167FC1B5}">
  <sheetPr codeName="Planilha3"/>
  <dimension ref="A2:N21"/>
  <sheetViews>
    <sheetView showGridLines="0" workbookViewId="0">
      <selection activeCell="C12" sqref="C12"/>
    </sheetView>
  </sheetViews>
  <sheetFormatPr defaultRowHeight="14.4" x14ac:dyDescent="0.3"/>
  <cols>
    <col min="1" max="1" width="17.21875" bestFit="1" customWidth="1"/>
    <col min="2" max="2" width="14.6640625" bestFit="1" customWidth="1"/>
    <col min="3" max="3" width="19.6640625" bestFit="1" customWidth="1"/>
    <col min="4" max="4" width="5.21875" customWidth="1"/>
    <col min="5" max="5" width="17.21875" bestFit="1" customWidth="1"/>
    <col min="6" max="6" width="14.6640625" bestFit="1" customWidth="1"/>
    <col min="7" max="7" width="7.21875" customWidth="1"/>
    <col min="8" max="8" width="17.21875" bestFit="1" customWidth="1"/>
    <col min="9" max="9" width="18.109375" bestFit="1" customWidth="1"/>
    <col min="10" max="10" width="17.6640625" bestFit="1" customWidth="1"/>
    <col min="11" max="11" width="17.21875" bestFit="1" customWidth="1"/>
    <col min="12" max="12" width="10.5546875" bestFit="1" customWidth="1"/>
    <col min="14" max="14" width="17.21875" bestFit="1" customWidth="1"/>
    <col min="15" max="15" width="21.5546875" bestFit="1" customWidth="1"/>
    <col min="16" max="16" width="17.21875" bestFit="1" customWidth="1"/>
    <col min="17" max="17" width="21.5546875" bestFit="1" customWidth="1"/>
  </cols>
  <sheetData>
    <row r="2" spans="1:11" x14ac:dyDescent="0.3">
      <c r="A2" s="24" t="s">
        <v>23</v>
      </c>
      <c r="B2" t="s">
        <v>25</v>
      </c>
      <c r="C2" t="s">
        <v>26</v>
      </c>
      <c r="E2" s="24" t="s">
        <v>23</v>
      </c>
      <c r="F2" t="s">
        <v>25</v>
      </c>
      <c r="H2" s="24" t="s">
        <v>23</v>
      </c>
      <c r="I2" t="s">
        <v>29</v>
      </c>
      <c r="K2" s="24" t="s">
        <v>23</v>
      </c>
    </row>
    <row r="3" spans="1:11" x14ac:dyDescent="0.3">
      <c r="A3" s="25" t="s">
        <v>30</v>
      </c>
      <c r="B3" s="27">
        <v>0</v>
      </c>
      <c r="C3" s="8">
        <v>1</v>
      </c>
      <c r="E3" s="26" t="s">
        <v>22</v>
      </c>
      <c r="F3" s="8">
        <v>0</v>
      </c>
      <c r="H3" s="25" t="s">
        <v>30</v>
      </c>
      <c r="I3" s="9">
        <v>0</v>
      </c>
      <c r="K3" s="26" t="s">
        <v>18</v>
      </c>
    </row>
    <row r="4" spans="1:11" x14ac:dyDescent="0.3">
      <c r="A4" s="25" t="s">
        <v>28</v>
      </c>
      <c r="B4" s="27"/>
      <c r="C4" s="8"/>
      <c r="E4" s="26" t="s">
        <v>28</v>
      </c>
      <c r="F4" s="8"/>
      <c r="H4" s="25" t="s">
        <v>28</v>
      </c>
      <c r="I4" s="9"/>
      <c r="K4" s="26" t="s">
        <v>28</v>
      </c>
    </row>
    <row r="5" spans="1:11" x14ac:dyDescent="0.3">
      <c r="A5" s="25" t="s">
        <v>24</v>
      </c>
      <c r="B5" s="27">
        <v>0</v>
      </c>
      <c r="C5" s="8">
        <v>1</v>
      </c>
      <c r="E5" s="26" t="s">
        <v>24</v>
      </c>
      <c r="F5" s="8">
        <v>0</v>
      </c>
      <c r="H5" s="25" t="s">
        <v>24</v>
      </c>
      <c r="I5" s="9">
        <v>0</v>
      </c>
      <c r="K5" s="26" t="s">
        <v>24</v>
      </c>
    </row>
    <row r="21" spans="14:14" x14ac:dyDescent="0.3">
      <c r="N21" s="14" t="s">
        <v>27</v>
      </c>
    </row>
  </sheetData>
  <pageMargins left="0.511811024" right="0.511811024" top="0.78740157499999996" bottom="0.78740157499999996" header="0.31496062000000002" footer="0.31496062000000002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0072D-82DB-4FED-B19B-5DDB83A71742}">
  <sheetPr codeName="Planilha1"/>
  <dimension ref="A1"/>
  <sheetViews>
    <sheetView showGridLines="0" showRowColHeaders="0" workbookViewId="0">
      <selection activeCell="K3" sqref="K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5653D-930A-432E-8A8B-DCEACE2DD613}">
  <sheetPr codeName="PlanBDocupada"/>
  <dimension ref="A1:K1"/>
  <sheetViews>
    <sheetView workbookViewId="0">
      <selection activeCell="J23" sqref="J23"/>
    </sheetView>
  </sheetViews>
  <sheetFormatPr defaultRowHeight="14.4" x14ac:dyDescent="0.3"/>
  <cols>
    <col min="1" max="1" width="2.77734375" bestFit="1" customWidth="1"/>
    <col min="2" max="2" width="5.44140625" bestFit="1" customWidth="1"/>
    <col min="3" max="3" width="9.77734375" bestFit="1" customWidth="1"/>
    <col min="4" max="4" width="6.21875" bestFit="1" customWidth="1"/>
    <col min="5" max="5" width="9" bestFit="1" customWidth="1"/>
    <col min="6" max="6" width="5.88671875" bestFit="1" customWidth="1"/>
    <col min="7" max="7" width="9.33203125" bestFit="1" customWidth="1"/>
    <col min="8" max="8" width="11.77734375" bestFit="1" customWidth="1"/>
    <col min="9" max="9" width="6.5546875" bestFit="1" customWidth="1"/>
    <col min="10" max="10" width="5.5546875" bestFit="1" customWidth="1"/>
    <col min="11" max="11" width="9.44140625" bestFit="1" customWidth="1"/>
  </cols>
  <sheetData>
    <row r="1" spans="1:11" x14ac:dyDescent="0.3">
      <c r="A1" t="s">
        <v>0</v>
      </c>
      <c r="B1" t="s">
        <v>16</v>
      </c>
      <c r="C1" t="s">
        <v>5</v>
      </c>
      <c r="D1" t="s">
        <v>1</v>
      </c>
      <c r="E1" t="s">
        <v>2</v>
      </c>
      <c r="F1" t="s">
        <v>14</v>
      </c>
      <c r="G1" t="s">
        <v>15</v>
      </c>
      <c r="H1" t="s">
        <v>21</v>
      </c>
      <c r="I1" t="s">
        <v>6</v>
      </c>
      <c r="J1" t="s">
        <v>3</v>
      </c>
      <c r="K1" t="s">
        <v>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042B4-AC19-45EF-ADD2-827DA539C697}">
  <sheetPr codeName="PlanBDlivre"/>
  <dimension ref="A1:K254"/>
  <sheetViews>
    <sheetView workbookViewId="0">
      <selection activeCell="H2" sqref="H2"/>
    </sheetView>
  </sheetViews>
  <sheetFormatPr defaultRowHeight="14.4" x14ac:dyDescent="0.3"/>
  <cols>
    <col min="1" max="1" width="2.77734375" bestFit="1" customWidth="1"/>
    <col min="2" max="2" width="10.5546875" bestFit="1" customWidth="1"/>
    <col min="3" max="3" width="11.88671875" bestFit="1" customWidth="1"/>
    <col min="4" max="4" width="8.109375" style="9" bestFit="1" customWidth="1"/>
    <col min="5" max="5" width="9" style="19" bestFit="1" customWidth="1"/>
    <col min="6" max="7" width="10.5546875" style="19" bestFit="1" customWidth="1"/>
    <col min="8" max="8" width="11.77734375" style="12" bestFit="1" customWidth="1"/>
    <col min="9" max="9" width="6.5546875" bestFit="1" customWidth="1"/>
    <col min="10" max="10" width="5.5546875" bestFit="1" customWidth="1"/>
    <col min="11" max="11" width="9.44140625" bestFit="1" customWidth="1"/>
  </cols>
  <sheetData>
    <row r="1" spans="1:11" x14ac:dyDescent="0.3">
      <c r="A1" t="s">
        <v>0</v>
      </c>
      <c r="B1" t="s">
        <v>16</v>
      </c>
      <c r="C1" t="s">
        <v>5</v>
      </c>
      <c r="D1" s="9" t="s">
        <v>1</v>
      </c>
      <c r="E1" s="19" t="s">
        <v>2</v>
      </c>
      <c r="F1" s="19" t="s">
        <v>14</v>
      </c>
      <c r="G1" s="19" t="s">
        <v>15</v>
      </c>
      <c r="H1" s="12" t="s">
        <v>21</v>
      </c>
      <c r="I1" t="s">
        <v>6</v>
      </c>
      <c r="J1" t="s">
        <v>3</v>
      </c>
      <c r="K1" t="s">
        <v>4</v>
      </c>
    </row>
    <row r="2" spans="1:11" x14ac:dyDescent="0.3">
      <c r="A2" t="s">
        <v>17</v>
      </c>
      <c r="B2" s="10" t="s">
        <v>30</v>
      </c>
      <c r="C2" t="s">
        <v>18</v>
      </c>
      <c r="D2" s="9" t="s">
        <v>31</v>
      </c>
      <c r="E2" s="19" t="s">
        <v>32</v>
      </c>
      <c r="F2" s="19">
        <v>0.19652777777777777</v>
      </c>
      <c r="G2" s="19">
        <v>0</v>
      </c>
      <c r="H2" s="12" t="s">
        <v>22</v>
      </c>
      <c r="I2">
        <v>0</v>
      </c>
      <c r="J2" t="s">
        <v>19</v>
      </c>
      <c r="K2" t="s">
        <v>20</v>
      </c>
    </row>
    <row r="3" spans="1:11" x14ac:dyDescent="0.3">
      <c r="B3" s="10"/>
    </row>
    <row r="4" spans="1:11" x14ac:dyDescent="0.3">
      <c r="B4" s="10"/>
    </row>
    <row r="5" spans="1:11" x14ac:dyDescent="0.3">
      <c r="B5" s="10"/>
    </row>
    <row r="6" spans="1:11" x14ac:dyDescent="0.3">
      <c r="B6" s="10"/>
    </row>
    <row r="7" spans="1:11" x14ac:dyDescent="0.3">
      <c r="B7" s="10"/>
    </row>
    <row r="8" spans="1:11" x14ac:dyDescent="0.3">
      <c r="B8" s="10"/>
    </row>
    <row r="9" spans="1:11" x14ac:dyDescent="0.3">
      <c r="B9" s="10"/>
    </row>
    <row r="10" spans="1:11" x14ac:dyDescent="0.3">
      <c r="B10" s="10"/>
    </row>
    <row r="11" spans="1:11" x14ac:dyDescent="0.3">
      <c r="B11" s="10"/>
    </row>
    <row r="12" spans="1:11" x14ac:dyDescent="0.3">
      <c r="B12" s="10"/>
    </row>
    <row r="13" spans="1:11" x14ac:dyDescent="0.3">
      <c r="B13" s="10"/>
    </row>
    <row r="14" spans="1:11" x14ac:dyDescent="0.3">
      <c r="B14" s="10"/>
    </row>
    <row r="15" spans="1:11" x14ac:dyDescent="0.3">
      <c r="B15" s="10"/>
    </row>
    <row r="16" spans="1:11" x14ac:dyDescent="0.3">
      <c r="B16" s="10"/>
    </row>
    <row r="17" spans="2:2" x14ac:dyDescent="0.3">
      <c r="B17" s="10"/>
    </row>
    <row r="18" spans="2:2" x14ac:dyDescent="0.3">
      <c r="B18" s="10"/>
    </row>
    <row r="19" spans="2:2" x14ac:dyDescent="0.3">
      <c r="B19" s="10"/>
    </row>
    <row r="20" spans="2:2" x14ac:dyDescent="0.3">
      <c r="B20" s="10"/>
    </row>
    <row r="21" spans="2:2" x14ac:dyDescent="0.3">
      <c r="B21" s="10"/>
    </row>
    <row r="22" spans="2:2" x14ac:dyDescent="0.3">
      <c r="B22" s="10"/>
    </row>
    <row r="23" spans="2:2" x14ac:dyDescent="0.3">
      <c r="B23" s="10"/>
    </row>
    <row r="24" spans="2:2" x14ac:dyDescent="0.3">
      <c r="B24" s="10"/>
    </row>
    <row r="25" spans="2:2" x14ac:dyDescent="0.3">
      <c r="B25" s="10"/>
    </row>
    <row r="26" spans="2:2" x14ac:dyDescent="0.3">
      <c r="B26" s="10"/>
    </row>
    <row r="27" spans="2:2" x14ac:dyDescent="0.3">
      <c r="B27" s="10"/>
    </row>
    <row r="28" spans="2:2" x14ac:dyDescent="0.3">
      <c r="B28" s="10"/>
    </row>
    <row r="29" spans="2:2" x14ac:dyDescent="0.3">
      <c r="B29" s="10"/>
    </row>
    <row r="30" spans="2:2" x14ac:dyDescent="0.3">
      <c r="B30" s="10"/>
    </row>
    <row r="31" spans="2:2" x14ac:dyDescent="0.3">
      <c r="B31" s="10"/>
    </row>
    <row r="32" spans="2:2" x14ac:dyDescent="0.3">
      <c r="B32" s="10"/>
    </row>
    <row r="33" spans="2:2" x14ac:dyDescent="0.3">
      <c r="B33" s="10"/>
    </row>
    <row r="34" spans="2:2" x14ac:dyDescent="0.3">
      <c r="B34" s="10"/>
    </row>
    <row r="35" spans="2:2" x14ac:dyDescent="0.3">
      <c r="B35" s="10"/>
    </row>
    <row r="36" spans="2:2" x14ac:dyDescent="0.3">
      <c r="B36" s="10"/>
    </row>
    <row r="37" spans="2:2" x14ac:dyDescent="0.3">
      <c r="B37" s="10"/>
    </row>
    <row r="38" spans="2:2" x14ac:dyDescent="0.3">
      <c r="B38" s="10"/>
    </row>
    <row r="39" spans="2:2" x14ac:dyDescent="0.3">
      <c r="B39" s="10"/>
    </row>
    <row r="40" spans="2:2" x14ac:dyDescent="0.3">
      <c r="B40" s="10"/>
    </row>
    <row r="41" spans="2:2" x14ac:dyDescent="0.3">
      <c r="B41" s="10"/>
    </row>
    <row r="42" spans="2:2" x14ac:dyDescent="0.3">
      <c r="B42" s="10"/>
    </row>
    <row r="43" spans="2:2" x14ac:dyDescent="0.3">
      <c r="B43" s="10"/>
    </row>
    <row r="44" spans="2:2" x14ac:dyDescent="0.3">
      <c r="B44" s="10"/>
    </row>
    <row r="45" spans="2:2" x14ac:dyDescent="0.3">
      <c r="B45" s="10"/>
    </row>
    <row r="46" spans="2:2" x14ac:dyDescent="0.3">
      <c r="B46" s="10"/>
    </row>
    <row r="47" spans="2:2" x14ac:dyDescent="0.3">
      <c r="B47" s="10"/>
    </row>
    <row r="48" spans="2:2" x14ac:dyDescent="0.3">
      <c r="B48" s="10"/>
    </row>
    <row r="49" spans="2:2" x14ac:dyDescent="0.3">
      <c r="B49" s="10"/>
    </row>
    <row r="50" spans="2:2" x14ac:dyDescent="0.3">
      <c r="B50" s="10"/>
    </row>
    <row r="51" spans="2:2" x14ac:dyDescent="0.3">
      <c r="B51" s="10"/>
    </row>
    <row r="52" spans="2:2" x14ac:dyDescent="0.3">
      <c r="B52" s="10"/>
    </row>
    <row r="53" spans="2:2" x14ac:dyDescent="0.3">
      <c r="B53" s="10"/>
    </row>
    <row r="54" spans="2:2" x14ac:dyDescent="0.3">
      <c r="B54" s="10"/>
    </row>
    <row r="55" spans="2:2" x14ac:dyDescent="0.3">
      <c r="B55" s="10"/>
    </row>
    <row r="56" spans="2:2" x14ac:dyDescent="0.3">
      <c r="B56" s="10"/>
    </row>
    <row r="57" spans="2:2" x14ac:dyDescent="0.3">
      <c r="B57" s="10"/>
    </row>
    <row r="58" spans="2:2" x14ac:dyDescent="0.3">
      <c r="B58" s="10"/>
    </row>
    <row r="59" spans="2:2" x14ac:dyDescent="0.3">
      <c r="B59" s="10"/>
    </row>
    <row r="60" spans="2:2" x14ac:dyDescent="0.3">
      <c r="B60" s="10"/>
    </row>
    <row r="61" spans="2:2" x14ac:dyDescent="0.3">
      <c r="B61" s="10"/>
    </row>
    <row r="62" spans="2:2" x14ac:dyDescent="0.3">
      <c r="B62" s="10"/>
    </row>
    <row r="63" spans="2:2" x14ac:dyDescent="0.3">
      <c r="B63" s="10"/>
    </row>
    <row r="64" spans="2:2" x14ac:dyDescent="0.3">
      <c r="B64" s="10"/>
    </row>
    <row r="65" spans="2:2" x14ac:dyDescent="0.3">
      <c r="B65" s="10"/>
    </row>
    <row r="66" spans="2:2" x14ac:dyDescent="0.3">
      <c r="B66" s="10"/>
    </row>
    <row r="67" spans="2:2" x14ac:dyDescent="0.3">
      <c r="B67" s="10"/>
    </row>
    <row r="68" spans="2:2" x14ac:dyDescent="0.3">
      <c r="B68" s="10"/>
    </row>
    <row r="69" spans="2:2" x14ac:dyDescent="0.3">
      <c r="B69" s="10"/>
    </row>
    <row r="70" spans="2:2" x14ac:dyDescent="0.3">
      <c r="B70" s="10"/>
    </row>
    <row r="71" spans="2:2" x14ac:dyDescent="0.3">
      <c r="B71" s="10"/>
    </row>
    <row r="72" spans="2:2" x14ac:dyDescent="0.3">
      <c r="B72" s="10"/>
    </row>
    <row r="73" spans="2:2" x14ac:dyDescent="0.3">
      <c r="B73" s="10"/>
    </row>
    <row r="74" spans="2:2" x14ac:dyDescent="0.3">
      <c r="B74" s="10"/>
    </row>
    <row r="75" spans="2:2" x14ac:dyDescent="0.3">
      <c r="B75" s="10"/>
    </row>
    <row r="76" spans="2:2" x14ac:dyDescent="0.3">
      <c r="B76" s="10"/>
    </row>
    <row r="77" spans="2:2" x14ac:dyDescent="0.3">
      <c r="B77" s="10"/>
    </row>
    <row r="78" spans="2:2" x14ac:dyDescent="0.3">
      <c r="B78" s="10"/>
    </row>
    <row r="79" spans="2:2" x14ac:dyDescent="0.3">
      <c r="B79" s="10"/>
    </row>
    <row r="80" spans="2:2" x14ac:dyDescent="0.3">
      <c r="B80" s="10"/>
    </row>
    <row r="81" spans="2:2" x14ac:dyDescent="0.3">
      <c r="B81" s="10"/>
    </row>
    <row r="82" spans="2:2" x14ac:dyDescent="0.3">
      <c r="B82" s="10"/>
    </row>
    <row r="83" spans="2:2" x14ac:dyDescent="0.3">
      <c r="B83" s="10"/>
    </row>
    <row r="84" spans="2:2" x14ac:dyDescent="0.3">
      <c r="B84" s="10"/>
    </row>
    <row r="85" spans="2:2" x14ac:dyDescent="0.3">
      <c r="B85" s="10"/>
    </row>
    <row r="86" spans="2:2" x14ac:dyDescent="0.3">
      <c r="B86" s="10"/>
    </row>
    <row r="87" spans="2:2" x14ac:dyDescent="0.3">
      <c r="B87" s="10"/>
    </row>
    <row r="88" spans="2:2" x14ac:dyDescent="0.3">
      <c r="B88" s="10"/>
    </row>
    <row r="89" spans="2:2" x14ac:dyDescent="0.3">
      <c r="B89" s="10"/>
    </row>
    <row r="90" spans="2:2" x14ac:dyDescent="0.3">
      <c r="B90" s="10"/>
    </row>
    <row r="91" spans="2:2" x14ac:dyDescent="0.3">
      <c r="B91" s="10"/>
    </row>
    <row r="92" spans="2:2" x14ac:dyDescent="0.3">
      <c r="B92" s="10"/>
    </row>
    <row r="93" spans="2:2" x14ac:dyDescent="0.3">
      <c r="B93" s="10"/>
    </row>
    <row r="94" spans="2:2" x14ac:dyDescent="0.3">
      <c r="B94" s="10"/>
    </row>
    <row r="95" spans="2:2" x14ac:dyDescent="0.3">
      <c r="B95" s="10"/>
    </row>
    <row r="96" spans="2:2" x14ac:dyDescent="0.3">
      <c r="B96" s="10"/>
    </row>
    <row r="97" spans="2:2" x14ac:dyDescent="0.3">
      <c r="B97" s="10"/>
    </row>
    <row r="98" spans="2:2" x14ac:dyDescent="0.3">
      <c r="B98" s="10"/>
    </row>
    <row r="99" spans="2:2" x14ac:dyDescent="0.3">
      <c r="B99" s="10"/>
    </row>
    <row r="100" spans="2:2" x14ac:dyDescent="0.3">
      <c r="B100" s="10"/>
    </row>
    <row r="101" spans="2:2" x14ac:dyDescent="0.3">
      <c r="B101" s="10"/>
    </row>
    <row r="102" spans="2:2" x14ac:dyDescent="0.3">
      <c r="B102" s="10"/>
    </row>
    <row r="103" spans="2:2" x14ac:dyDescent="0.3">
      <c r="B103" s="10"/>
    </row>
    <row r="104" spans="2:2" x14ac:dyDescent="0.3">
      <c r="B104" s="10"/>
    </row>
    <row r="105" spans="2:2" x14ac:dyDescent="0.3">
      <c r="B105" s="10"/>
    </row>
    <row r="106" spans="2:2" x14ac:dyDescent="0.3">
      <c r="B106" s="10"/>
    </row>
    <row r="107" spans="2:2" x14ac:dyDescent="0.3">
      <c r="B107" s="10"/>
    </row>
    <row r="108" spans="2:2" x14ac:dyDescent="0.3">
      <c r="B108" s="10"/>
    </row>
    <row r="109" spans="2:2" x14ac:dyDescent="0.3">
      <c r="B109" s="10"/>
    </row>
    <row r="110" spans="2:2" x14ac:dyDescent="0.3">
      <c r="B110" s="10"/>
    </row>
    <row r="111" spans="2:2" x14ac:dyDescent="0.3">
      <c r="B111" s="10"/>
    </row>
    <row r="112" spans="2:2" x14ac:dyDescent="0.3">
      <c r="B112" s="10"/>
    </row>
    <row r="113" spans="2:2" x14ac:dyDescent="0.3">
      <c r="B113" s="10"/>
    </row>
    <row r="114" spans="2:2" x14ac:dyDescent="0.3">
      <c r="B114" s="10"/>
    </row>
    <row r="115" spans="2:2" x14ac:dyDescent="0.3">
      <c r="B115" s="10"/>
    </row>
    <row r="116" spans="2:2" x14ac:dyDescent="0.3">
      <c r="B116" s="10"/>
    </row>
    <row r="117" spans="2:2" x14ac:dyDescent="0.3">
      <c r="B117" s="10"/>
    </row>
    <row r="118" spans="2:2" x14ac:dyDescent="0.3">
      <c r="B118" s="10"/>
    </row>
    <row r="119" spans="2:2" x14ac:dyDescent="0.3">
      <c r="B119" s="10"/>
    </row>
    <row r="120" spans="2:2" x14ac:dyDescent="0.3">
      <c r="B120" s="10"/>
    </row>
    <row r="121" spans="2:2" x14ac:dyDescent="0.3">
      <c r="B121" s="10"/>
    </row>
    <row r="122" spans="2:2" x14ac:dyDescent="0.3">
      <c r="B122" s="10"/>
    </row>
    <row r="123" spans="2:2" x14ac:dyDescent="0.3">
      <c r="B123" s="10"/>
    </row>
    <row r="124" spans="2:2" x14ac:dyDescent="0.3">
      <c r="B124" s="10"/>
    </row>
    <row r="125" spans="2:2" x14ac:dyDescent="0.3">
      <c r="B125" s="10"/>
    </row>
    <row r="126" spans="2:2" x14ac:dyDescent="0.3">
      <c r="B126" s="10"/>
    </row>
    <row r="127" spans="2:2" x14ac:dyDescent="0.3">
      <c r="B127" s="10"/>
    </row>
    <row r="128" spans="2:2" x14ac:dyDescent="0.3">
      <c r="B128" s="10"/>
    </row>
    <row r="129" spans="2:2" x14ac:dyDescent="0.3">
      <c r="B129" s="10"/>
    </row>
    <row r="130" spans="2:2" x14ac:dyDescent="0.3">
      <c r="B130" s="10"/>
    </row>
    <row r="131" spans="2:2" x14ac:dyDescent="0.3">
      <c r="B131" s="10"/>
    </row>
    <row r="132" spans="2:2" x14ac:dyDescent="0.3">
      <c r="B132" s="10"/>
    </row>
    <row r="133" spans="2:2" x14ac:dyDescent="0.3">
      <c r="B133" s="10"/>
    </row>
    <row r="134" spans="2:2" x14ac:dyDescent="0.3">
      <c r="B134" s="10"/>
    </row>
    <row r="135" spans="2:2" x14ac:dyDescent="0.3">
      <c r="B135" s="10"/>
    </row>
    <row r="136" spans="2:2" x14ac:dyDescent="0.3">
      <c r="B136" s="10"/>
    </row>
    <row r="137" spans="2:2" x14ac:dyDescent="0.3">
      <c r="B137" s="10"/>
    </row>
    <row r="138" spans="2:2" x14ac:dyDescent="0.3">
      <c r="B138" s="10"/>
    </row>
    <row r="139" spans="2:2" x14ac:dyDescent="0.3">
      <c r="B139" s="10"/>
    </row>
    <row r="140" spans="2:2" x14ac:dyDescent="0.3">
      <c r="B140" s="10"/>
    </row>
    <row r="141" spans="2:2" x14ac:dyDescent="0.3">
      <c r="B141" s="10"/>
    </row>
    <row r="142" spans="2:2" x14ac:dyDescent="0.3">
      <c r="B142" s="10"/>
    </row>
    <row r="143" spans="2:2" x14ac:dyDescent="0.3">
      <c r="B143" s="10"/>
    </row>
    <row r="144" spans="2:2" x14ac:dyDescent="0.3">
      <c r="B144" s="10"/>
    </row>
    <row r="145" spans="2:2" x14ac:dyDescent="0.3">
      <c r="B145" s="10"/>
    </row>
    <row r="146" spans="2:2" x14ac:dyDescent="0.3">
      <c r="B146" s="10"/>
    </row>
    <row r="147" spans="2:2" x14ac:dyDescent="0.3">
      <c r="B147" s="10"/>
    </row>
    <row r="148" spans="2:2" x14ac:dyDescent="0.3">
      <c r="B148" s="10"/>
    </row>
    <row r="149" spans="2:2" x14ac:dyDescent="0.3">
      <c r="B149" s="10"/>
    </row>
    <row r="150" spans="2:2" x14ac:dyDescent="0.3">
      <c r="B150" s="10"/>
    </row>
    <row r="151" spans="2:2" x14ac:dyDescent="0.3">
      <c r="B151" s="10"/>
    </row>
    <row r="152" spans="2:2" x14ac:dyDescent="0.3">
      <c r="B152" s="10"/>
    </row>
    <row r="153" spans="2:2" x14ac:dyDescent="0.3">
      <c r="B153" s="10"/>
    </row>
    <row r="154" spans="2:2" x14ac:dyDescent="0.3">
      <c r="B154" s="10"/>
    </row>
    <row r="155" spans="2:2" x14ac:dyDescent="0.3">
      <c r="B155" s="10"/>
    </row>
    <row r="156" spans="2:2" x14ac:dyDescent="0.3">
      <c r="B156" s="10"/>
    </row>
    <row r="157" spans="2:2" x14ac:dyDescent="0.3">
      <c r="B157" s="10"/>
    </row>
    <row r="158" spans="2:2" x14ac:dyDescent="0.3">
      <c r="B158" s="10"/>
    </row>
    <row r="159" spans="2:2" x14ac:dyDescent="0.3">
      <c r="B159" s="10"/>
    </row>
    <row r="160" spans="2:2" x14ac:dyDescent="0.3">
      <c r="B160" s="10"/>
    </row>
    <row r="161" spans="2:2" x14ac:dyDescent="0.3">
      <c r="B161" s="10"/>
    </row>
    <row r="162" spans="2:2" x14ac:dyDescent="0.3">
      <c r="B162" s="10"/>
    </row>
    <row r="163" spans="2:2" x14ac:dyDescent="0.3">
      <c r="B163" s="10"/>
    </row>
    <row r="164" spans="2:2" x14ac:dyDescent="0.3">
      <c r="B164" s="10"/>
    </row>
    <row r="165" spans="2:2" x14ac:dyDescent="0.3">
      <c r="B165" s="10"/>
    </row>
    <row r="166" spans="2:2" x14ac:dyDescent="0.3">
      <c r="B166" s="10"/>
    </row>
    <row r="167" spans="2:2" x14ac:dyDescent="0.3">
      <c r="B167" s="10"/>
    </row>
    <row r="168" spans="2:2" x14ac:dyDescent="0.3">
      <c r="B168" s="10"/>
    </row>
    <row r="169" spans="2:2" x14ac:dyDescent="0.3">
      <c r="B169" s="10"/>
    </row>
    <row r="170" spans="2:2" x14ac:dyDescent="0.3">
      <c r="B170" s="10"/>
    </row>
    <row r="171" spans="2:2" x14ac:dyDescent="0.3">
      <c r="B171" s="10"/>
    </row>
    <row r="172" spans="2:2" x14ac:dyDescent="0.3">
      <c r="B172" s="10"/>
    </row>
    <row r="173" spans="2:2" x14ac:dyDescent="0.3">
      <c r="B173" s="10"/>
    </row>
    <row r="174" spans="2:2" x14ac:dyDescent="0.3">
      <c r="B174" s="10"/>
    </row>
    <row r="175" spans="2:2" x14ac:dyDescent="0.3">
      <c r="B175" s="10"/>
    </row>
    <row r="176" spans="2:2" x14ac:dyDescent="0.3">
      <c r="B176" s="10"/>
    </row>
    <row r="177" spans="2:2" x14ac:dyDescent="0.3">
      <c r="B177" s="10"/>
    </row>
    <row r="178" spans="2:2" x14ac:dyDescent="0.3">
      <c r="B178" s="10"/>
    </row>
    <row r="179" spans="2:2" x14ac:dyDescent="0.3">
      <c r="B179" s="10"/>
    </row>
    <row r="180" spans="2:2" x14ac:dyDescent="0.3">
      <c r="B180" s="10"/>
    </row>
    <row r="181" spans="2:2" x14ac:dyDescent="0.3">
      <c r="B181" s="10"/>
    </row>
    <row r="182" spans="2:2" x14ac:dyDescent="0.3">
      <c r="B182" s="10"/>
    </row>
    <row r="183" spans="2:2" x14ac:dyDescent="0.3">
      <c r="B183" s="10"/>
    </row>
    <row r="184" spans="2:2" x14ac:dyDescent="0.3">
      <c r="B184" s="10"/>
    </row>
    <row r="185" spans="2:2" x14ac:dyDescent="0.3">
      <c r="B185" s="10"/>
    </row>
    <row r="186" spans="2:2" x14ac:dyDescent="0.3">
      <c r="B186" s="10"/>
    </row>
    <row r="187" spans="2:2" x14ac:dyDescent="0.3">
      <c r="B187" s="10"/>
    </row>
    <row r="188" spans="2:2" x14ac:dyDescent="0.3">
      <c r="B188" s="10"/>
    </row>
    <row r="189" spans="2:2" x14ac:dyDescent="0.3">
      <c r="B189" s="10"/>
    </row>
    <row r="190" spans="2:2" x14ac:dyDescent="0.3">
      <c r="B190" s="10"/>
    </row>
    <row r="191" spans="2:2" x14ac:dyDescent="0.3">
      <c r="B191" s="10"/>
    </row>
    <row r="192" spans="2:2" x14ac:dyDescent="0.3">
      <c r="B192" s="10"/>
    </row>
    <row r="193" spans="2:2" x14ac:dyDescent="0.3">
      <c r="B193" s="10"/>
    </row>
    <row r="194" spans="2:2" x14ac:dyDescent="0.3">
      <c r="B194" s="10"/>
    </row>
    <row r="195" spans="2:2" x14ac:dyDescent="0.3">
      <c r="B195" s="10"/>
    </row>
    <row r="196" spans="2:2" x14ac:dyDescent="0.3">
      <c r="B196" s="10"/>
    </row>
    <row r="197" spans="2:2" x14ac:dyDescent="0.3">
      <c r="B197" s="10"/>
    </row>
    <row r="198" spans="2:2" x14ac:dyDescent="0.3">
      <c r="B198" s="10"/>
    </row>
    <row r="199" spans="2:2" x14ac:dyDescent="0.3">
      <c r="B199" s="10"/>
    </row>
    <row r="200" spans="2:2" x14ac:dyDescent="0.3">
      <c r="B200" s="10"/>
    </row>
    <row r="201" spans="2:2" x14ac:dyDescent="0.3">
      <c r="B201" s="10"/>
    </row>
    <row r="202" spans="2:2" x14ac:dyDescent="0.3">
      <c r="B202" s="10"/>
    </row>
    <row r="203" spans="2:2" x14ac:dyDescent="0.3">
      <c r="B203" s="10"/>
    </row>
    <row r="204" spans="2:2" x14ac:dyDescent="0.3">
      <c r="B204" s="10"/>
    </row>
    <row r="205" spans="2:2" x14ac:dyDescent="0.3">
      <c r="B205" s="10"/>
    </row>
    <row r="206" spans="2:2" x14ac:dyDescent="0.3">
      <c r="B206" s="10"/>
    </row>
    <row r="207" spans="2:2" x14ac:dyDescent="0.3">
      <c r="B207" s="10"/>
    </row>
    <row r="208" spans="2:2" x14ac:dyDescent="0.3">
      <c r="B208" s="10"/>
    </row>
    <row r="209" spans="2:2" x14ac:dyDescent="0.3">
      <c r="B209" s="10"/>
    </row>
    <row r="210" spans="2:2" x14ac:dyDescent="0.3">
      <c r="B210" s="10"/>
    </row>
    <row r="211" spans="2:2" x14ac:dyDescent="0.3">
      <c r="B211" s="10"/>
    </row>
    <row r="212" spans="2:2" x14ac:dyDescent="0.3">
      <c r="B212" s="10"/>
    </row>
    <row r="213" spans="2:2" x14ac:dyDescent="0.3">
      <c r="B213" s="10"/>
    </row>
    <row r="214" spans="2:2" x14ac:dyDescent="0.3">
      <c r="B214" s="10"/>
    </row>
    <row r="215" spans="2:2" x14ac:dyDescent="0.3">
      <c r="B215" s="10"/>
    </row>
    <row r="216" spans="2:2" x14ac:dyDescent="0.3">
      <c r="B216" s="10"/>
    </row>
    <row r="217" spans="2:2" x14ac:dyDescent="0.3">
      <c r="B217" s="10"/>
    </row>
    <row r="218" spans="2:2" x14ac:dyDescent="0.3">
      <c r="B218" s="10"/>
    </row>
    <row r="219" spans="2:2" x14ac:dyDescent="0.3">
      <c r="B219" s="10"/>
    </row>
    <row r="220" spans="2:2" x14ac:dyDescent="0.3">
      <c r="B220" s="10"/>
    </row>
    <row r="221" spans="2:2" x14ac:dyDescent="0.3">
      <c r="B221" s="10"/>
    </row>
    <row r="222" spans="2:2" x14ac:dyDescent="0.3">
      <c r="B222" s="10"/>
    </row>
    <row r="223" spans="2:2" x14ac:dyDescent="0.3">
      <c r="B223" s="10"/>
    </row>
    <row r="224" spans="2:2" x14ac:dyDescent="0.3">
      <c r="B224" s="10"/>
    </row>
    <row r="225" spans="2:2" x14ac:dyDescent="0.3">
      <c r="B225" s="10"/>
    </row>
    <row r="226" spans="2:2" x14ac:dyDescent="0.3">
      <c r="B226" s="10"/>
    </row>
    <row r="227" spans="2:2" x14ac:dyDescent="0.3">
      <c r="B227" s="10"/>
    </row>
    <row r="228" spans="2:2" x14ac:dyDescent="0.3">
      <c r="B228" s="10"/>
    </row>
    <row r="229" spans="2:2" x14ac:dyDescent="0.3">
      <c r="B229" s="10"/>
    </row>
    <row r="230" spans="2:2" x14ac:dyDescent="0.3">
      <c r="B230" s="10"/>
    </row>
    <row r="231" spans="2:2" x14ac:dyDescent="0.3">
      <c r="B231" s="10"/>
    </row>
    <row r="232" spans="2:2" x14ac:dyDescent="0.3">
      <c r="B232" s="10"/>
    </row>
    <row r="233" spans="2:2" x14ac:dyDescent="0.3">
      <c r="B233" s="10"/>
    </row>
    <row r="234" spans="2:2" x14ac:dyDescent="0.3">
      <c r="B234" s="10"/>
    </row>
    <row r="235" spans="2:2" x14ac:dyDescent="0.3">
      <c r="B235" s="10"/>
    </row>
    <row r="236" spans="2:2" x14ac:dyDescent="0.3">
      <c r="B236" s="10"/>
    </row>
    <row r="237" spans="2:2" x14ac:dyDescent="0.3">
      <c r="B237" s="10"/>
    </row>
    <row r="238" spans="2:2" x14ac:dyDescent="0.3">
      <c r="B238" s="10"/>
    </row>
    <row r="239" spans="2:2" x14ac:dyDescent="0.3">
      <c r="B239" s="10"/>
    </row>
    <row r="240" spans="2:2" x14ac:dyDescent="0.3">
      <c r="B240" s="10"/>
    </row>
    <row r="241" spans="2:2" x14ac:dyDescent="0.3">
      <c r="B241" s="10"/>
    </row>
    <row r="242" spans="2:2" x14ac:dyDescent="0.3">
      <c r="B242" s="10"/>
    </row>
    <row r="243" spans="2:2" x14ac:dyDescent="0.3">
      <c r="B243" s="10"/>
    </row>
    <row r="244" spans="2:2" x14ac:dyDescent="0.3">
      <c r="B244" s="10"/>
    </row>
    <row r="245" spans="2:2" x14ac:dyDescent="0.3">
      <c r="B245" s="10"/>
    </row>
    <row r="246" spans="2:2" x14ac:dyDescent="0.3">
      <c r="B246" s="10"/>
    </row>
    <row r="247" spans="2:2" x14ac:dyDescent="0.3">
      <c r="B247" s="10"/>
    </row>
    <row r="248" spans="2:2" x14ac:dyDescent="0.3">
      <c r="B248" s="10"/>
    </row>
    <row r="249" spans="2:2" x14ac:dyDescent="0.3">
      <c r="B249" s="10"/>
    </row>
    <row r="250" spans="2:2" x14ac:dyDescent="0.3">
      <c r="B250" s="10"/>
    </row>
    <row r="251" spans="2:2" x14ac:dyDescent="0.3">
      <c r="B251" s="10"/>
    </row>
    <row r="252" spans="2:2" x14ac:dyDescent="0.3">
      <c r="B252" s="10"/>
    </row>
    <row r="253" spans="2:2" x14ac:dyDescent="0.3">
      <c r="B253" s="10"/>
    </row>
    <row r="254" spans="2:2" x14ac:dyDescent="0.3">
      <c r="B254" s="10"/>
    </row>
  </sheetData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document" Type="http://schemas.openxmlformats.org/officeDocument/2006/relationships/image" Target="images/48bb8790-46da-4105-a75d-42f52bd0fb37.png"/><Relationship Id="hidden" Type="http://schemas.openxmlformats.org/officeDocument/2006/relationships/image" Target="images/0cf406fe-6908-4d16-95fa-b7344bf5bf04.png"/></Relationships>
</file>

<file path=customUI/customUI.xml><?xml version="1.0" encoding="utf-8"?>
<customUI xmlns="http://schemas.microsoft.com/office/2006/01/customui">
  <ribbon>
    <tabs>
      <tab id="customTab" label="Estacionamento" insertAfterMso="TabDeveloper">
        <group id="customGroup1" label="Controle de estacionamento">
          <button id="customButton1" label="Formulário" size="large" onAction="abrirForm" image="document"/>
          <toggleButton id="customButton2" label="Mostrar/Ocultar Form." size="normal" onAction="showHideBD" image="hidde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BD (2)</vt:lpstr>
      <vt:lpstr>BD</vt:lpstr>
      <vt:lpstr>Planilha4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adonisss</dc:creator>
  <cp:lastModifiedBy>adonisss</cp:lastModifiedBy>
  <dcterms:created xsi:type="dcterms:W3CDTF">2021-10-01T22:46:19Z</dcterms:created>
  <dcterms:modified xsi:type="dcterms:W3CDTF">2021-10-07T07:44:27Z</dcterms:modified>
</cp:coreProperties>
</file>